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\gompang-survivor\Assets\"/>
    </mc:Choice>
  </mc:AlternateContent>
  <xr:revisionPtr revIDLastSave="0" documentId="13_ncr:1_{16E7AC0D-32C7-4F68-9B2F-D419BEF4F7B5}" xr6:coauthVersionLast="47" xr6:coauthVersionMax="47" xr10:uidLastSave="{00000000-0000-0000-0000-000000000000}"/>
  <bookViews>
    <workbookView xWindow="-108" yWindow="-108" windowWidth="23256" windowHeight="12456" xr2:uid="{6609E6BD-B421-4305-A941-8033F08D5DC9}"/>
  </bookViews>
  <sheets>
    <sheet name="Sheet2" sheetId="2" r:id="rId1"/>
  </sheets>
  <definedNames>
    <definedName name="_xlnm._FilterDatabase" localSheetId="0" hidden="1">Sheet2!$A$1:$H$61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2" l="1"/>
  <c r="P10" i="2"/>
  <c r="P9" i="2"/>
  <c r="P8" i="2"/>
  <c r="M10" i="2"/>
  <c r="M9" i="2"/>
  <c r="M8" i="2"/>
  <c r="M7" i="2"/>
  <c r="M6" i="2"/>
  <c r="M5" i="2"/>
  <c r="J3" i="2"/>
  <c r="J4" i="2"/>
  <c r="J5" i="2"/>
  <c r="J6" i="2"/>
  <c r="J7" i="2"/>
  <c r="J2" i="2"/>
</calcChain>
</file>

<file path=xl/sharedStrings.xml><?xml version="1.0" encoding="utf-8"?>
<sst xmlns="http://schemas.openxmlformats.org/spreadsheetml/2006/main" count="199" uniqueCount="28">
  <si>
    <t>Common</t>
  </si>
  <si>
    <t>BodyArmor</t>
  </si>
  <si>
    <t>Gloves</t>
  </si>
  <si>
    <t>Necklaces</t>
  </si>
  <si>
    <t>Pants</t>
  </si>
  <si>
    <t>Rare</t>
  </si>
  <si>
    <t>Epic</t>
  </si>
  <si>
    <t>Legendary</t>
  </si>
  <si>
    <t>FlyDron</t>
  </si>
  <si>
    <t>atack</t>
  </si>
  <si>
    <t>defence</t>
  </si>
  <si>
    <t>moveSpeed</t>
  </si>
  <si>
    <t>atkSpeed</t>
  </si>
  <si>
    <t>Ring</t>
  </si>
  <si>
    <t>Id</t>
    <phoneticPr fontId="1" type="noConversion"/>
  </si>
  <si>
    <t>GearType</t>
    <phoneticPr fontId="1" type="noConversion"/>
  </si>
  <si>
    <t>WEIGHT</t>
    <phoneticPr fontId="1" type="noConversion"/>
  </si>
  <si>
    <t>ItemRarity</t>
    <phoneticPr fontId="1" type="noConversion"/>
  </si>
  <si>
    <t>DESC</t>
    <phoneticPr fontId="1" type="noConversion"/>
  </si>
  <si>
    <r>
      <rPr>
        <sz val="12"/>
        <color theme="1"/>
        <rFont val="맑은 고딕"/>
        <family val="3"/>
        <charset val="129"/>
      </rPr>
      <t>방어력</t>
    </r>
    <r>
      <rPr>
        <sz val="12"/>
        <color theme="1"/>
        <rFont val="Arial"/>
        <family val="2"/>
      </rPr>
      <t xml:space="preserve"> {0}% </t>
    </r>
    <r>
      <rPr>
        <sz val="12"/>
        <color theme="1"/>
        <rFont val="맑은 고딕"/>
        <family val="3"/>
        <charset val="129"/>
      </rPr>
      <t>증가</t>
    </r>
    <phoneticPr fontId="1" type="noConversion"/>
  </si>
  <si>
    <r>
      <rPr>
        <sz val="12"/>
        <color theme="1"/>
        <rFont val="맑은 고딕"/>
        <family val="3"/>
        <charset val="129"/>
      </rPr>
      <t>공격력</t>
    </r>
    <r>
      <rPr>
        <sz val="12"/>
        <color theme="1"/>
        <rFont val="Arial"/>
        <family val="2"/>
      </rPr>
      <t xml:space="preserve"> {0}% </t>
    </r>
    <r>
      <rPr>
        <sz val="12"/>
        <color theme="1"/>
        <rFont val="맑은 고딕"/>
        <family val="3"/>
        <charset val="129"/>
      </rPr>
      <t>증가</t>
    </r>
    <r>
      <rPr>
        <sz val="12"/>
        <color theme="1"/>
        <rFont val="Arial"/>
        <family val="2"/>
      </rPr>
      <t>\n</t>
    </r>
    <r>
      <rPr>
        <sz val="12"/>
        <color theme="1"/>
        <rFont val="맑은 고딕"/>
        <family val="2"/>
        <charset val="129"/>
      </rPr>
      <t>방어력</t>
    </r>
    <r>
      <rPr>
        <sz val="12"/>
        <color theme="1"/>
        <rFont val="Arial"/>
        <family val="2"/>
      </rPr>
      <t xml:space="preserve"> {1} </t>
    </r>
    <r>
      <rPr>
        <sz val="12"/>
        <color theme="1"/>
        <rFont val="맑은 고딕"/>
        <family val="2"/>
        <charset val="129"/>
      </rPr>
      <t>증가</t>
    </r>
    <phoneticPr fontId="1" type="noConversion"/>
  </si>
  <si>
    <r>
      <rPr>
        <sz val="12"/>
        <color theme="1"/>
        <rFont val="맑은 고딕"/>
        <family val="3"/>
        <charset val="129"/>
      </rPr>
      <t>공격력</t>
    </r>
    <r>
      <rPr>
        <sz val="12"/>
        <color theme="1"/>
        <rFont val="Arial"/>
        <family val="2"/>
      </rPr>
      <t xml:space="preserve"> {0}% </t>
    </r>
    <r>
      <rPr>
        <sz val="12"/>
        <color theme="1"/>
        <rFont val="맑은 고딕"/>
        <family val="3"/>
        <charset val="129"/>
      </rPr>
      <t>증가</t>
    </r>
    <phoneticPr fontId="1" type="noConversion"/>
  </si>
  <si>
    <r>
      <rPr>
        <sz val="12"/>
        <color theme="1"/>
        <rFont val="맑은 고딕"/>
        <family val="3"/>
        <charset val="129"/>
      </rPr>
      <t>공격력</t>
    </r>
    <r>
      <rPr>
        <sz val="12"/>
        <color theme="1"/>
        <rFont val="Arial"/>
        <family val="2"/>
      </rPr>
      <t xml:space="preserve"> {0}% </t>
    </r>
    <r>
      <rPr>
        <sz val="12"/>
        <color theme="1"/>
        <rFont val="맑은 고딕"/>
        <family val="3"/>
        <charset val="129"/>
      </rPr>
      <t>증가</t>
    </r>
    <r>
      <rPr>
        <sz val="12"/>
        <color theme="1"/>
        <rFont val="Arial"/>
        <family val="2"/>
      </rPr>
      <t>\n</t>
    </r>
    <r>
      <rPr>
        <sz val="12"/>
        <color theme="1"/>
        <rFont val="맑은 고딕"/>
        <family val="2"/>
        <charset val="129"/>
      </rPr>
      <t>회전속도</t>
    </r>
    <r>
      <rPr>
        <sz val="12"/>
        <color theme="1"/>
        <rFont val="Arial"/>
        <family val="2"/>
      </rPr>
      <t xml:space="preserve"> {1} </t>
    </r>
    <r>
      <rPr>
        <sz val="12"/>
        <color theme="1"/>
        <rFont val="맑은 고딕"/>
        <family val="2"/>
        <charset val="129"/>
      </rPr>
      <t>증가</t>
    </r>
    <phoneticPr fontId="1" type="noConversion"/>
  </si>
  <si>
    <r>
      <rPr>
        <sz val="12"/>
        <color theme="1"/>
        <rFont val="맑은 고딕"/>
        <family val="3"/>
        <charset val="129"/>
      </rPr>
      <t>공격속도</t>
    </r>
    <r>
      <rPr>
        <sz val="12"/>
        <color theme="1"/>
        <rFont val="Arial"/>
        <family val="2"/>
      </rPr>
      <t xml:space="preserve"> {0}% </t>
    </r>
    <r>
      <rPr>
        <sz val="12"/>
        <color theme="1"/>
        <rFont val="맑은 고딕"/>
        <family val="3"/>
        <charset val="129"/>
      </rPr>
      <t>증가</t>
    </r>
    <phoneticPr fontId="1" type="noConversion"/>
  </si>
  <si>
    <r>
      <rPr>
        <sz val="12"/>
        <color theme="1"/>
        <rFont val="맑은 고딕"/>
        <family val="3"/>
        <charset val="129"/>
      </rPr>
      <t>공격력</t>
    </r>
    <r>
      <rPr>
        <sz val="12"/>
        <color theme="1"/>
        <rFont val="Arial"/>
        <family val="2"/>
      </rPr>
      <t xml:space="preserve"> {0}% </t>
    </r>
    <r>
      <rPr>
        <sz val="12"/>
        <color theme="1"/>
        <rFont val="맑은 고딕"/>
        <family val="3"/>
        <charset val="129"/>
      </rPr>
      <t>증가</t>
    </r>
    <r>
      <rPr>
        <sz val="12"/>
        <color theme="1"/>
        <rFont val="Arial"/>
        <family val="3"/>
        <charset val="129"/>
      </rPr>
      <t>\n</t>
    </r>
    <r>
      <rPr>
        <sz val="12"/>
        <color theme="1"/>
        <rFont val="맑은 고딕"/>
        <family val="3"/>
        <charset val="129"/>
      </rPr>
      <t>공격속도</t>
    </r>
    <r>
      <rPr>
        <sz val="12"/>
        <color theme="1"/>
        <rFont val="Arial"/>
        <family val="3"/>
        <charset val="129"/>
      </rPr>
      <t xml:space="preserve"> {1} </t>
    </r>
    <r>
      <rPr>
        <sz val="12"/>
        <color theme="1"/>
        <rFont val="맑은 고딕"/>
        <family val="3"/>
        <charset val="129"/>
      </rPr>
      <t>증가</t>
    </r>
    <phoneticPr fontId="1" type="noConversion"/>
  </si>
  <si>
    <r>
      <rPr>
        <sz val="12"/>
        <color theme="1"/>
        <rFont val="맑은 고딕"/>
        <family val="3"/>
        <charset val="129"/>
      </rPr>
      <t>공격력</t>
    </r>
    <r>
      <rPr>
        <sz val="12"/>
        <color theme="1"/>
        <rFont val="Arial"/>
        <family val="2"/>
      </rPr>
      <t xml:space="preserve"> {0}% </t>
    </r>
    <r>
      <rPr>
        <sz val="12"/>
        <color theme="1"/>
        <rFont val="맑은 고딕"/>
        <family val="3"/>
        <charset val="129"/>
      </rPr>
      <t>증가</t>
    </r>
    <r>
      <rPr>
        <sz val="12"/>
        <color theme="1"/>
        <rFont val="Arial"/>
        <family val="3"/>
        <charset val="129"/>
      </rPr>
      <t>\n</t>
    </r>
    <r>
      <rPr>
        <sz val="12"/>
        <color theme="1"/>
        <rFont val="맑은 고딕"/>
        <family val="3"/>
        <charset val="129"/>
      </rPr>
      <t>방어력</t>
    </r>
    <r>
      <rPr>
        <sz val="12"/>
        <color theme="1"/>
        <rFont val="Arial"/>
        <family val="3"/>
        <charset val="129"/>
      </rPr>
      <t xml:space="preserve"> {1} </t>
    </r>
    <r>
      <rPr>
        <sz val="12"/>
        <color theme="1"/>
        <rFont val="맑은 고딕"/>
        <family val="3"/>
        <charset val="129"/>
      </rPr>
      <t>증가</t>
    </r>
    <phoneticPr fontId="1" type="noConversion"/>
  </si>
  <si>
    <r>
      <rPr>
        <sz val="12"/>
        <color theme="1"/>
        <rFont val="맑은 고딕"/>
        <family val="3"/>
        <charset val="129"/>
      </rPr>
      <t>방어력</t>
    </r>
    <r>
      <rPr>
        <sz val="12"/>
        <color theme="1"/>
        <rFont val="Arial"/>
        <family val="3"/>
        <charset val="129"/>
      </rPr>
      <t xml:space="preserve"> {1} </t>
    </r>
    <r>
      <rPr>
        <sz val="12"/>
        <color theme="1"/>
        <rFont val="맑은 고딕"/>
        <family val="3"/>
        <charset val="129"/>
      </rPr>
      <t>증가</t>
    </r>
    <phoneticPr fontId="1" type="noConversion"/>
  </si>
  <si>
    <r>
      <rPr>
        <sz val="12"/>
        <color theme="1"/>
        <rFont val="맑은 고딕"/>
        <family val="3"/>
        <charset val="129"/>
      </rPr>
      <t>방어력</t>
    </r>
    <r>
      <rPr>
        <sz val="12"/>
        <color theme="1"/>
        <rFont val="Arial"/>
        <family val="2"/>
      </rPr>
      <t xml:space="preserve"> {0}% </t>
    </r>
    <r>
      <rPr>
        <sz val="12"/>
        <color theme="1"/>
        <rFont val="맑은 고딕"/>
        <family val="3"/>
        <charset val="129"/>
      </rPr>
      <t>증가</t>
    </r>
    <r>
      <rPr>
        <sz val="12"/>
        <color theme="1"/>
        <rFont val="Arial"/>
        <family val="3"/>
        <charset val="129"/>
      </rPr>
      <t>\n</t>
    </r>
    <r>
      <rPr>
        <sz val="12"/>
        <color theme="1"/>
        <rFont val="맑은 고딕"/>
        <family val="3"/>
        <charset val="129"/>
      </rPr>
      <t>공격속도</t>
    </r>
    <r>
      <rPr>
        <sz val="12"/>
        <color theme="1"/>
        <rFont val="Arial"/>
        <family val="3"/>
        <charset val="129"/>
      </rPr>
      <t xml:space="preserve"> {1} </t>
    </r>
    <r>
      <rPr>
        <sz val="12"/>
        <color theme="1"/>
        <rFont val="맑은 고딕"/>
        <family val="3"/>
        <charset val="129"/>
      </rPr>
      <t>증가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</si>
</sst>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A0A0A"/>
      <name val="Arial"/>
      <family val="2"/>
    </font>
    <font>
      <sz val="11"/>
      <color rgb="FF0A0A0A"/>
      <name val="Arial"/>
      <family val="2"/>
    </font>
    <font>
      <sz val="10"/>
      <color theme="1"/>
      <name val="Arial"/>
      <family val="2"/>
    </font>
    <font>
      <b/>
      <sz val="11"/>
      <color rgb="FF0A0A0A"/>
      <name val="Arial"/>
      <family val="3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12"/>
      <color theme="1"/>
      <name val="Arial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AE9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right" vertical="top" wrapText="1"/>
    </xf>
    <xf numFmtId="0" fontId="0" fillId="0" borderId="2" xfId="0" applyBorder="1">
      <alignment vertical="center"/>
    </xf>
    <xf numFmtId="0" fontId="5" fillId="2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9" fillId="0" borderId="1" xfId="0" applyFont="1" applyBorder="1">
      <alignment vertical="center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039B-97CD-424E-BC53-CD501C6EBFC2}">
  <dimension ref="A1:P61"/>
  <sheetViews>
    <sheetView tabSelected="1" topLeftCell="A42" workbookViewId="0">
      <selection activeCell="K47" sqref="K47"/>
    </sheetView>
  </sheetViews>
  <sheetFormatPr defaultRowHeight="17.399999999999999" x14ac:dyDescent="0.4"/>
  <cols>
    <col min="1" max="1" width="14.69921875" bestFit="1" customWidth="1"/>
    <col min="2" max="2" width="5" bestFit="1" customWidth="1"/>
    <col min="3" max="3" width="8" bestFit="1" customWidth="1"/>
    <col min="4" max="4" width="10.5" bestFit="1" customWidth="1"/>
    <col min="5" max="6" width="14" customWidth="1"/>
    <col min="7" max="7" width="14.09765625" bestFit="1" customWidth="1"/>
    <col min="8" max="8" width="10.296875" customWidth="1"/>
    <col min="9" max="9" width="37.8984375" customWidth="1"/>
    <col min="14" max="14" width="13.796875" customWidth="1"/>
    <col min="16" max="16" width="18.5" customWidth="1"/>
  </cols>
  <sheetData>
    <row r="1" spans="1:16" x14ac:dyDescent="0.4">
      <c r="A1" s="12" t="s">
        <v>15</v>
      </c>
      <c r="B1" s="7" t="s">
        <v>14</v>
      </c>
      <c r="C1" s="12" t="s">
        <v>9</v>
      </c>
      <c r="D1" s="12" t="s">
        <v>10</v>
      </c>
      <c r="E1" s="12" t="s">
        <v>11</v>
      </c>
      <c r="F1" s="12" t="s">
        <v>12</v>
      </c>
      <c r="G1" s="7" t="s">
        <v>17</v>
      </c>
      <c r="H1" s="7" t="s">
        <v>16</v>
      </c>
      <c r="I1" s="7" t="s">
        <v>18</v>
      </c>
    </row>
    <row r="2" spans="1:16" ht="19.2" x14ac:dyDescent="0.4">
      <c r="A2" s="13" t="s">
        <v>1</v>
      </c>
      <c r="B2" s="10">
        <v>1</v>
      </c>
      <c r="C2" s="14">
        <v>0</v>
      </c>
      <c r="D2" s="10">
        <v>0.01</v>
      </c>
      <c r="E2" s="14">
        <v>0</v>
      </c>
      <c r="F2" s="14">
        <v>0</v>
      </c>
      <c r="G2" s="15" t="s">
        <v>0</v>
      </c>
      <c r="H2" s="8">
        <v>1000</v>
      </c>
      <c r="I2" s="11" t="s">
        <v>19</v>
      </c>
      <c r="J2" s="6">
        <f>H2 / SUM($H$2:$H$7)*100</f>
        <v>31.746031746031743</v>
      </c>
      <c r="K2" s="1"/>
      <c r="L2" s="1"/>
      <c r="M2" s="1"/>
      <c r="N2" s="1"/>
      <c r="O2" s="1"/>
      <c r="P2" s="1"/>
    </row>
    <row r="3" spans="1:16" ht="19.2" x14ac:dyDescent="0.4">
      <c r="A3" s="13" t="s">
        <v>1</v>
      </c>
      <c r="B3" s="10">
        <v>2</v>
      </c>
      <c r="C3" s="14">
        <v>0</v>
      </c>
      <c r="D3" s="10">
        <v>0.02</v>
      </c>
      <c r="E3" s="14">
        <v>0</v>
      </c>
      <c r="F3" s="14">
        <v>0</v>
      </c>
      <c r="G3" s="15" t="s">
        <v>0</v>
      </c>
      <c r="H3" s="8">
        <v>900</v>
      </c>
      <c r="I3" s="11" t="s">
        <v>19</v>
      </c>
      <c r="J3" s="6">
        <f>H3 / SUM($H$2:$H$7)*100</f>
        <v>28.571428571428569</v>
      </c>
      <c r="K3" s="1"/>
      <c r="L3" s="1"/>
      <c r="M3" s="1"/>
      <c r="N3" s="1"/>
      <c r="O3" s="1"/>
      <c r="P3" s="1"/>
    </row>
    <row r="4" spans="1:16" ht="19.2" x14ac:dyDescent="0.4">
      <c r="A4" s="13" t="s">
        <v>1</v>
      </c>
      <c r="B4" s="10">
        <v>3</v>
      </c>
      <c r="C4" s="14">
        <v>0</v>
      </c>
      <c r="D4" s="10">
        <v>0.03</v>
      </c>
      <c r="E4" s="14">
        <v>0</v>
      </c>
      <c r="F4" s="14">
        <v>0</v>
      </c>
      <c r="G4" s="15" t="s">
        <v>0</v>
      </c>
      <c r="H4" s="8">
        <v>800</v>
      </c>
      <c r="I4" s="11" t="s">
        <v>19</v>
      </c>
      <c r="J4" s="6">
        <f>H4 / SUM($H$2:$H$7)*100</f>
        <v>25.396825396825395</v>
      </c>
      <c r="K4" s="1"/>
      <c r="L4" s="1"/>
      <c r="M4" s="1"/>
      <c r="N4" s="1"/>
      <c r="O4" s="1"/>
      <c r="P4" s="1"/>
    </row>
    <row r="5" spans="1:16" ht="19.2" x14ac:dyDescent="0.4">
      <c r="A5" s="13" t="s">
        <v>1</v>
      </c>
      <c r="B5" s="10">
        <v>4</v>
      </c>
      <c r="C5" s="14">
        <v>0</v>
      </c>
      <c r="D5" s="10">
        <v>0.04</v>
      </c>
      <c r="E5" s="14">
        <v>0</v>
      </c>
      <c r="F5" s="14">
        <v>0</v>
      </c>
      <c r="G5" s="15" t="s">
        <v>5</v>
      </c>
      <c r="H5" s="8">
        <v>200</v>
      </c>
      <c r="I5" s="11" t="s">
        <v>19</v>
      </c>
      <c r="J5" s="6">
        <f>H5 / SUM($H$2:$H$7)*100</f>
        <v>6.3492063492063489</v>
      </c>
      <c r="K5" s="2" t="s">
        <v>5</v>
      </c>
      <c r="L5" s="3">
        <v>200</v>
      </c>
      <c r="M5" s="1">
        <f>L5/SUM($L$5:$L$10)*100</f>
        <v>39.215686274509807</v>
      </c>
      <c r="N5" s="1"/>
      <c r="O5" s="1"/>
      <c r="P5" s="1"/>
    </row>
    <row r="6" spans="1:16" ht="19.2" x14ac:dyDescent="0.4">
      <c r="A6" s="13" t="s">
        <v>1</v>
      </c>
      <c r="B6" s="10">
        <v>5</v>
      </c>
      <c r="C6" s="14">
        <v>0</v>
      </c>
      <c r="D6" s="10">
        <v>0.05</v>
      </c>
      <c r="E6" s="14">
        <v>0</v>
      </c>
      <c r="F6" s="14">
        <v>0</v>
      </c>
      <c r="G6" s="15" t="s">
        <v>5</v>
      </c>
      <c r="H6" s="8">
        <v>150</v>
      </c>
      <c r="I6" s="11" t="s">
        <v>19</v>
      </c>
      <c r="J6" s="6">
        <f>H6 / SUM($H$2:$H$7)*100</f>
        <v>4.7619047619047619</v>
      </c>
      <c r="K6" s="2" t="s">
        <v>5</v>
      </c>
      <c r="L6" s="3">
        <v>150</v>
      </c>
      <c r="M6" s="1">
        <f t="shared" ref="M6:M10" si="0">L6/SUM($L$5:$L$10)*100</f>
        <v>29.411764705882355</v>
      </c>
      <c r="N6" s="1"/>
      <c r="O6" s="1"/>
      <c r="P6" s="1"/>
    </row>
    <row r="7" spans="1:16" ht="19.2" x14ac:dyDescent="0.4">
      <c r="A7" s="13" t="s">
        <v>1</v>
      </c>
      <c r="B7" s="10">
        <v>6</v>
      </c>
      <c r="C7" s="14">
        <v>0</v>
      </c>
      <c r="D7" s="10">
        <v>0.06</v>
      </c>
      <c r="E7" s="14">
        <v>0</v>
      </c>
      <c r="F7" s="14">
        <v>0</v>
      </c>
      <c r="G7" s="15" t="s">
        <v>5</v>
      </c>
      <c r="H7" s="8">
        <v>100</v>
      </c>
      <c r="I7" s="11" t="s">
        <v>19</v>
      </c>
      <c r="J7" s="6">
        <f>H7 / SUM($H$2:$H$7)*100</f>
        <v>3.1746031746031744</v>
      </c>
      <c r="K7" s="2" t="s">
        <v>5</v>
      </c>
      <c r="L7" s="3">
        <v>100</v>
      </c>
      <c r="M7" s="1">
        <f t="shared" si="0"/>
        <v>19.607843137254903</v>
      </c>
      <c r="N7" s="1"/>
      <c r="O7" s="1"/>
      <c r="P7" s="1"/>
    </row>
    <row r="8" spans="1:16" ht="19.2" x14ac:dyDescent="0.4">
      <c r="A8" s="13" t="s">
        <v>1</v>
      </c>
      <c r="B8" s="10">
        <v>7</v>
      </c>
      <c r="C8" s="14">
        <v>0</v>
      </c>
      <c r="D8" s="10">
        <v>0.1</v>
      </c>
      <c r="E8" s="14">
        <v>0</v>
      </c>
      <c r="F8" s="14">
        <v>0</v>
      </c>
      <c r="G8" s="16" t="s">
        <v>6</v>
      </c>
      <c r="H8" s="9">
        <v>30</v>
      </c>
      <c r="I8" s="11" t="s">
        <v>19</v>
      </c>
      <c r="J8" s="6"/>
      <c r="K8" s="2" t="s">
        <v>6</v>
      </c>
      <c r="L8" s="3">
        <v>30</v>
      </c>
      <c r="M8" s="1">
        <f t="shared" si="0"/>
        <v>5.8823529411764701</v>
      </c>
      <c r="N8" s="4" t="s">
        <v>6</v>
      </c>
      <c r="O8" s="5">
        <v>30</v>
      </c>
      <c r="P8" s="1">
        <f>O8/SUM($O$8:$O$11)*100</f>
        <v>48.387096774193552</v>
      </c>
    </row>
    <row r="9" spans="1:16" ht="19.2" x14ac:dyDescent="0.4">
      <c r="A9" s="13" t="s">
        <v>1</v>
      </c>
      <c r="B9" s="10">
        <v>8</v>
      </c>
      <c r="C9" s="14">
        <v>0</v>
      </c>
      <c r="D9" s="10">
        <v>0.2</v>
      </c>
      <c r="E9" s="14">
        <v>0</v>
      </c>
      <c r="F9" s="14">
        <v>0</v>
      </c>
      <c r="G9" s="16" t="s">
        <v>6</v>
      </c>
      <c r="H9" s="9">
        <v>20</v>
      </c>
      <c r="I9" s="11" t="s">
        <v>19</v>
      </c>
      <c r="J9" s="6"/>
      <c r="K9" s="2" t="s">
        <v>6</v>
      </c>
      <c r="L9" s="3">
        <v>20</v>
      </c>
      <c r="M9" s="1">
        <f t="shared" si="0"/>
        <v>3.9215686274509802</v>
      </c>
      <c r="N9" s="4" t="s">
        <v>6</v>
      </c>
      <c r="O9" s="5">
        <v>20</v>
      </c>
      <c r="P9" s="1">
        <f t="shared" ref="P9:P11" si="1">O9/SUM($O$8:$O$11)*100</f>
        <v>32.258064516129032</v>
      </c>
    </row>
    <row r="10" spans="1:16" ht="19.2" x14ac:dyDescent="0.4">
      <c r="A10" s="13" t="s">
        <v>1</v>
      </c>
      <c r="B10" s="10">
        <v>9</v>
      </c>
      <c r="C10" s="14">
        <v>0</v>
      </c>
      <c r="D10" s="10">
        <v>0.25</v>
      </c>
      <c r="E10" s="14">
        <v>0</v>
      </c>
      <c r="F10" s="14">
        <v>0</v>
      </c>
      <c r="G10" s="16" t="s">
        <v>6</v>
      </c>
      <c r="H10" s="9">
        <v>10</v>
      </c>
      <c r="I10" s="11" t="s">
        <v>19</v>
      </c>
      <c r="J10" s="6"/>
      <c r="K10" s="2" t="s">
        <v>6</v>
      </c>
      <c r="L10" s="3">
        <v>10</v>
      </c>
      <c r="M10" s="1">
        <f t="shared" si="0"/>
        <v>1.9607843137254901</v>
      </c>
      <c r="N10" s="4" t="s">
        <v>6</v>
      </c>
      <c r="O10" s="5">
        <v>10</v>
      </c>
      <c r="P10" s="1">
        <f t="shared" si="1"/>
        <v>16.129032258064516</v>
      </c>
    </row>
    <row r="11" spans="1:16" ht="19.2" x14ac:dyDescent="0.4">
      <c r="A11" s="13" t="s">
        <v>1</v>
      </c>
      <c r="B11" s="10">
        <v>10</v>
      </c>
      <c r="C11" s="10">
        <v>0.1</v>
      </c>
      <c r="D11" s="10">
        <v>0.5</v>
      </c>
      <c r="E11" s="14">
        <v>0</v>
      </c>
      <c r="F11" s="14">
        <v>0</v>
      </c>
      <c r="G11" s="13" t="s">
        <v>7</v>
      </c>
      <c r="H11" s="10">
        <v>2</v>
      </c>
      <c r="I11" s="11" t="s">
        <v>20</v>
      </c>
      <c r="J11" s="6"/>
      <c r="K11" s="1"/>
      <c r="L11" s="1"/>
      <c r="M11" s="1"/>
      <c r="N11" s="4" t="s">
        <v>7</v>
      </c>
      <c r="O11" s="5">
        <v>2</v>
      </c>
      <c r="P11" s="1">
        <f t="shared" si="1"/>
        <v>3.225806451612903</v>
      </c>
    </row>
    <row r="12" spans="1:16" ht="19.2" x14ac:dyDescent="0.4">
      <c r="A12" s="13" t="s">
        <v>8</v>
      </c>
      <c r="B12" s="10">
        <v>1</v>
      </c>
      <c r="C12" s="10">
        <v>5.0000000000000001E-3</v>
      </c>
      <c r="D12" s="14">
        <v>0</v>
      </c>
      <c r="E12" s="14">
        <v>0</v>
      </c>
      <c r="F12" s="14">
        <v>0</v>
      </c>
      <c r="G12" s="13" t="s">
        <v>0</v>
      </c>
      <c r="H12" s="10">
        <v>1000</v>
      </c>
      <c r="I12" s="11" t="s">
        <v>21</v>
      </c>
    </row>
    <row r="13" spans="1:16" ht="19.2" x14ac:dyDescent="0.4">
      <c r="A13" s="13" t="s">
        <v>8</v>
      </c>
      <c r="B13" s="10">
        <v>2</v>
      </c>
      <c r="C13" s="10">
        <v>0.01</v>
      </c>
      <c r="D13" s="14">
        <v>0</v>
      </c>
      <c r="E13" s="14">
        <v>0</v>
      </c>
      <c r="F13" s="14">
        <v>0</v>
      </c>
      <c r="G13" s="13" t="s">
        <v>0</v>
      </c>
      <c r="H13" s="10">
        <v>900</v>
      </c>
      <c r="I13" s="11" t="s">
        <v>21</v>
      </c>
    </row>
    <row r="14" spans="1:16" ht="19.2" x14ac:dyDescent="0.4">
      <c r="A14" s="13" t="s">
        <v>8</v>
      </c>
      <c r="B14" s="10">
        <v>3</v>
      </c>
      <c r="C14" s="10">
        <v>1.4999999999999999E-2</v>
      </c>
      <c r="D14" s="14">
        <v>0</v>
      </c>
      <c r="E14" s="14">
        <v>0</v>
      </c>
      <c r="F14" s="14">
        <v>0</v>
      </c>
      <c r="G14" s="13" t="s">
        <v>0</v>
      </c>
      <c r="H14" s="10">
        <v>800</v>
      </c>
      <c r="I14" s="11" t="s">
        <v>21</v>
      </c>
    </row>
    <row r="15" spans="1:16" ht="19.2" x14ac:dyDescent="0.4">
      <c r="A15" s="13" t="s">
        <v>8</v>
      </c>
      <c r="B15" s="10">
        <v>4</v>
      </c>
      <c r="C15" s="10">
        <v>0.02</v>
      </c>
      <c r="D15" s="14">
        <v>0</v>
      </c>
      <c r="E15" s="14">
        <v>0</v>
      </c>
      <c r="F15" s="14">
        <v>0</v>
      </c>
      <c r="G15" s="13" t="s">
        <v>5</v>
      </c>
      <c r="H15" s="10">
        <v>200</v>
      </c>
      <c r="I15" s="11" t="s">
        <v>21</v>
      </c>
    </row>
    <row r="16" spans="1:16" ht="19.2" x14ac:dyDescent="0.4">
      <c r="A16" s="13" t="s">
        <v>8</v>
      </c>
      <c r="B16" s="10">
        <v>5</v>
      </c>
      <c r="C16" s="10">
        <v>2.5000000000000001E-2</v>
      </c>
      <c r="D16" s="14">
        <v>0</v>
      </c>
      <c r="E16" s="14">
        <v>0</v>
      </c>
      <c r="F16" s="14">
        <v>0</v>
      </c>
      <c r="G16" s="13" t="s">
        <v>5</v>
      </c>
      <c r="H16" s="10">
        <v>150</v>
      </c>
      <c r="I16" s="11" t="s">
        <v>21</v>
      </c>
    </row>
    <row r="17" spans="1:9" ht="19.2" x14ac:dyDescent="0.4">
      <c r="A17" s="13" t="s">
        <v>8</v>
      </c>
      <c r="B17" s="10">
        <v>6</v>
      </c>
      <c r="C17" s="10">
        <v>0.03</v>
      </c>
      <c r="D17" s="14">
        <v>0</v>
      </c>
      <c r="E17" s="14">
        <v>0</v>
      </c>
      <c r="F17" s="14">
        <v>0</v>
      </c>
      <c r="G17" s="13" t="s">
        <v>5</v>
      </c>
      <c r="H17" s="10">
        <v>100</v>
      </c>
      <c r="I17" s="11" t="s">
        <v>21</v>
      </c>
    </row>
    <row r="18" spans="1:9" ht="19.2" x14ac:dyDescent="0.4">
      <c r="A18" s="13" t="s">
        <v>8</v>
      </c>
      <c r="B18" s="10">
        <v>7</v>
      </c>
      <c r="C18" s="10">
        <v>0.05</v>
      </c>
      <c r="D18" s="14">
        <v>0</v>
      </c>
      <c r="E18" s="10">
        <v>0.05</v>
      </c>
      <c r="F18" s="10"/>
      <c r="G18" s="13" t="s">
        <v>6</v>
      </c>
      <c r="H18" s="10">
        <v>30</v>
      </c>
      <c r="I18" s="11" t="s">
        <v>22</v>
      </c>
    </row>
    <row r="19" spans="1:9" ht="19.2" x14ac:dyDescent="0.4">
      <c r="A19" s="13" t="s">
        <v>8</v>
      </c>
      <c r="B19" s="10">
        <v>8</v>
      </c>
      <c r="C19" s="10">
        <v>0.1</v>
      </c>
      <c r="D19" s="14">
        <v>0</v>
      </c>
      <c r="E19" s="10">
        <v>0.1</v>
      </c>
      <c r="F19" s="10"/>
      <c r="G19" s="13" t="s">
        <v>6</v>
      </c>
      <c r="H19" s="10">
        <v>20</v>
      </c>
      <c r="I19" s="11" t="s">
        <v>22</v>
      </c>
    </row>
    <row r="20" spans="1:9" ht="19.2" x14ac:dyDescent="0.4">
      <c r="A20" s="13" t="s">
        <v>8</v>
      </c>
      <c r="B20" s="10">
        <v>9</v>
      </c>
      <c r="C20" s="10">
        <v>0.125</v>
      </c>
      <c r="D20" s="14">
        <v>0</v>
      </c>
      <c r="E20" s="10">
        <v>0.125</v>
      </c>
      <c r="F20" s="10"/>
      <c r="G20" s="13" t="s">
        <v>6</v>
      </c>
      <c r="H20" s="10">
        <v>10</v>
      </c>
      <c r="I20" s="11" t="s">
        <v>22</v>
      </c>
    </row>
    <row r="21" spans="1:9" ht="19.2" x14ac:dyDescent="0.4">
      <c r="A21" s="13" t="s">
        <v>8</v>
      </c>
      <c r="B21" s="10">
        <v>10</v>
      </c>
      <c r="C21" s="10">
        <v>0.25</v>
      </c>
      <c r="D21" s="10"/>
      <c r="E21" s="10">
        <v>0.25</v>
      </c>
      <c r="F21" s="10"/>
      <c r="G21" s="13" t="s">
        <v>7</v>
      </c>
      <c r="H21" s="10">
        <v>2</v>
      </c>
      <c r="I21" s="11" t="s">
        <v>22</v>
      </c>
    </row>
    <row r="22" spans="1:9" ht="19.2" x14ac:dyDescent="0.4">
      <c r="A22" s="13" t="s">
        <v>2</v>
      </c>
      <c r="B22" s="10">
        <v>1</v>
      </c>
      <c r="C22" s="14">
        <v>0</v>
      </c>
      <c r="D22" s="14">
        <v>0</v>
      </c>
      <c r="E22" s="14">
        <v>0</v>
      </c>
      <c r="F22" s="10">
        <v>0.01</v>
      </c>
      <c r="G22" s="13" t="s">
        <v>0</v>
      </c>
      <c r="H22" s="10">
        <v>1000</v>
      </c>
      <c r="I22" s="11" t="s">
        <v>23</v>
      </c>
    </row>
    <row r="23" spans="1:9" ht="19.2" x14ac:dyDescent="0.4">
      <c r="A23" s="13" t="s">
        <v>2</v>
      </c>
      <c r="B23" s="10">
        <v>2</v>
      </c>
      <c r="C23" s="14">
        <v>0</v>
      </c>
      <c r="D23" s="14">
        <v>0</v>
      </c>
      <c r="E23" s="14">
        <v>0</v>
      </c>
      <c r="F23" s="10">
        <v>0.02</v>
      </c>
      <c r="G23" s="13" t="s">
        <v>0</v>
      </c>
      <c r="H23" s="10">
        <v>900</v>
      </c>
      <c r="I23" s="11" t="s">
        <v>23</v>
      </c>
    </row>
    <row r="24" spans="1:9" ht="19.2" x14ac:dyDescent="0.4">
      <c r="A24" s="13" t="s">
        <v>2</v>
      </c>
      <c r="B24" s="10">
        <v>3</v>
      </c>
      <c r="C24" s="14">
        <v>0</v>
      </c>
      <c r="D24" s="14">
        <v>0</v>
      </c>
      <c r="E24" s="14">
        <v>0</v>
      </c>
      <c r="F24" s="10">
        <v>0.03</v>
      </c>
      <c r="G24" s="13" t="s">
        <v>0</v>
      </c>
      <c r="H24" s="10">
        <v>800</v>
      </c>
      <c r="I24" s="11" t="s">
        <v>23</v>
      </c>
    </row>
    <row r="25" spans="1:9" ht="19.2" x14ac:dyDescent="0.4">
      <c r="A25" s="13" t="s">
        <v>2</v>
      </c>
      <c r="B25" s="10">
        <v>4</v>
      </c>
      <c r="C25" s="14">
        <v>0</v>
      </c>
      <c r="D25" s="14">
        <v>0</v>
      </c>
      <c r="E25" s="14">
        <v>0</v>
      </c>
      <c r="F25" s="10">
        <v>0.04</v>
      </c>
      <c r="G25" s="13" t="s">
        <v>5</v>
      </c>
      <c r="H25" s="10">
        <v>200</v>
      </c>
      <c r="I25" s="11" t="s">
        <v>23</v>
      </c>
    </row>
    <row r="26" spans="1:9" ht="19.2" x14ac:dyDescent="0.4">
      <c r="A26" s="13" t="s">
        <v>2</v>
      </c>
      <c r="B26" s="10">
        <v>5</v>
      </c>
      <c r="C26" s="14">
        <v>0</v>
      </c>
      <c r="D26" s="14">
        <v>0</v>
      </c>
      <c r="E26" s="14">
        <v>0</v>
      </c>
      <c r="F26" s="10">
        <v>0.05</v>
      </c>
      <c r="G26" s="13" t="s">
        <v>5</v>
      </c>
      <c r="H26" s="10">
        <v>150</v>
      </c>
      <c r="I26" s="11" t="s">
        <v>23</v>
      </c>
    </row>
    <row r="27" spans="1:9" ht="19.2" x14ac:dyDescent="0.4">
      <c r="A27" s="13" t="s">
        <v>2</v>
      </c>
      <c r="B27" s="10">
        <v>6</v>
      </c>
      <c r="C27" s="14">
        <v>0</v>
      </c>
      <c r="D27" s="14">
        <v>0</v>
      </c>
      <c r="E27" s="14">
        <v>0</v>
      </c>
      <c r="F27" s="10">
        <v>0.06</v>
      </c>
      <c r="G27" s="13" t="s">
        <v>5</v>
      </c>
      <c r="H27" s="10">
        <v>100</v>
      </c>
      <c r="I27" s="11" t="s">
        <v>23</v>
      </c>
    </row>
    <row r="28" spans="1:9" ht="19.2" x14ac:dyDescent="0.4">
      <c r="A28" s="13" t="s">
        <v>2</v>
      </c>
      <c r="B28" s="10">
        <v>7</v>
      </c>
      <c r="C28" s="14">
        <v>0</v>
      </c>
      <c r="D28" s="14">
        <v>0</v>
      </c>
      <c r="E28" s="14">
        <v>0</v>
      </c>
      <c r="F28" s="10">
        <v>0.1</v>
      </c>
      <c r="G28" s="13" t="s">
        <v>6</v>
      </c>
      <c r="H28" s="10">
        <v>30</v>
      </c>
      <c r="I28" s="11" t="s">
        <v>23</v>
      </c>
    </row>
    <row r="29" spans="1:9" ht="19.2" x14ac:dyDescent="0.4">
      <c r="A29" s="13" t="s">
        <v>2</v>
      </c>
      <c r="B29" s="10">
        <v>8</v>
      </c>
      <c r="C29" s="14">
        <v>0</v>
      </c>
      <c r="D29" s="14">
        <v>0</v>
      </c>
      <c r="E29" s="14">
        <v>0</v>
      </c>
      <c r="F29" s="10">
        <v>0.2</v>
      </c>
      <c r="G29" s="13" t="s">
        <v>6</v>
      </c>
      <c r="H29" s="10">
        <v>20</v>
      </c>
      <c r="I29" s="11" t="s">
        <v>23</v>
      </c>
    </row>
    <row r="30" spans="1:9" ht="19.2" x14ac:dyDescent="0.4">
      <c r="A30" s="13" t="s">
        <v>2</v>
      </c>
      <c r="B30" s="10">
        <v>9</v>
      </c>
      <c r="C30" s="14">
        <v>0</v>
      </c>
      <c r="D30" s="14">
        <v>0</v>
      </c>
      <c r="E30" s="14">
        <v>0</v>
      </c>
      <c r="F30" s="10">
        <v>0.25</v>
      </c>
      <c r="G30" s="13" t="s">
        <v>6</v>
      </c>
      <c r="H30" s="10">
        <v>10</v>
      </c>
      <c r="I30" s="11" t="s">
        <v>23</v>
      </c>
    </row>
    <row r="31" spans="1:9" ht="19.2" x14ac:dyDescent="0.4">
      <c r="A31" s="13" t="s">
        <v>2</v>
      </c>
      <c r="B31" s="10">
        <v>10</v>
      </c>
      <c r="C31" s="10">
        <v>0.1</v>
      </c>
      <c r="D31" s="14">
        <v>0</v>
      </c>
      <c r="E31" s="14">
        <v>0</v>
      </c>
      <c r="F31" s="10">
        <v>0.5</v>
      </c>
      <c r="G31" s="13" t="s">
        <v>7</v>
      </c>
      <c r="H31" s="10">
        <v>2</v>
      </c>
      <c r="I31" s="11" t="s">
        <v>24</v>
      </c>
    </row>
    <row r="32" spans="1:9" ht="19.2" x14ac:dyDescent="0.4">
      <c r="A32" s="13" t="s">
        <v>3</v>
      </c>
      <c r="B32" s="10">
        <v>1</v>
      </c>
      <c r="C32" s="10">
        <v>5.0000000000000001E-3</v>
      </c>
      <c r="D32" s="10">
        <v>5.0000000000000001E-3</v>
      </c>
      <c r="E32" s="14">
        <v>0</v>
      </c>
      <c r="F32" s="14">
        <v>0</v>
      </c>
      <c r="G32" s="13" t="s">
        <v>0</v>
      </c>
      <c r="H32" s="10">
        <v>1000</v>
      </c>
      <c r="I32" s="11" t="s">
        <v>25</v>
      </c>
    </row>
    <row r="33" spans="1:9" ht="19.2" x14ac:dyDescent="0.4">
      <c r="A33" s="13" t="s">
        <v>3</v>
      </c>
      <c r="B33" s="10">
        <v>2</v>
      </c>
      <c r="C33" s="10">
        <v>0.01</v>
      </c>
      <c r="D33" s="10">
        <v>0.01</v>
      </c>
      <c r="E33" s="14">
        <v>0</v>
      </c>
      <c r="F33" s="14">
        <v>0</v>
      </c>
      <c r="G33" s="13" t="s">
        <v>0</v>
      </c>
      <c r="H33" s="10">
        <v>900</v>
      </c>
      <c r="I33" s="11" t="s">
        <v>25</v>
      </c>
    </row>
    <row r="34" spans="1:9" ht="19.2" x14ac:dyDescent="0.4">
      <c r="A34" s="13" t="s">
        <v>3</v>
      </c>
      <c r="B34" s="10">
        <v>3</v>
      </c>
      <c r="C34" s="10">
        <v>1.4999999999999999E-2</v>
      </c>
      <c r="D34" s="10">
        <v>1.4999999999999999E-2</v>
      </c>
      <c r="E34" s="14">
        <v>0</v>
      </c>
      <c r="F34" s="14">
        <v>0</v>
      </c>
      <c r="G34" s="13" t="s">
        <v>0</v>
      </c>
      <c r="H34" s="10">
        <v>800</v>
      </c>
      <c r="I34" s="11" t="s">
        <v>25</v>
      </c>
    </row>
    <row r="35" spans="1:9" ht="19.2" x14ac:dyDescent="0.4">
      <c r="A35" s="13" t="s">
        <v>3</v>
      </c>
      <c r="B35" s="10">
        <v>4</v>
      </c>
      <c r="C35" s="10">
        <v>0.02</v>
      </c>
      <c r="D35" s="10">
        <v>0.02</v>
      </c>
      <c r="E35" s="14">
        <v>0</v>
      </c>
      <c r="F35" s="14">
        <v>0</v>
      </c>
      <c r="G35" s="13" t="s">
        <v>5</v>
      </c>
      <c r="H35" s="10">
        <v>200</v>
      </c>
      <c r="I35" s="11" t="s">
        <v>25</v>
      </c>
    </row>
    <row r="36" spans="1:9" ht="19.2" x14ac:dyDescent="0.4">
      <c r="A36" s="13" t="s">
        <v>3</v>
      </c>
      <c r="B36" s="10">
        <v>5</v>
      </c>
      <c r="C36" s="10">
        <v>2.5000000000000001E-2</v>
      </c>
      <c r="D36" s="10">
        <v>2.5000000000000001E-2</v>
      </c>
      <c r="E36" s="14">
        <v>0</v>
      </c>
      <c r="F36" s="14">
        <v>0</v>
      </c>
      <c r="G36" s="13" t="s">
        <v>5</v>
      </c>
      <c r="H36" s="10">
        <v>150</v>
      </c>
      <c r="I36" s="11" t="s">
        <v>25</v>
      </c>
    </row>
    <row r="37" spans="1:9" ht="19.2" x14ac:dyDescent="0.4">
      <c r="A37" s="13" t="s">
        <v>3</v>
      </c>
      <c r="B37" s="10">
        <v>6</v>
      </c>
      <c r="C37" s="10">
        <v>0.03</v>
      </c>
      <c r="D37" s="10">
        <v>0.03</v>
      </c>
      <c r="E37" s="14">
        <v>0</v>
      </c>
      <c r="F37" s="14">
        <v>0</v>
      </c>
      <c r="G37" s="13" t="s">
        <v>5</v>
      </c>
      <c r="H37" s="10">
        <v>100</v>
      </c>
      <c r="I37" s="11" t="s">
        <v>25</v>
      </c>
    </row>
    <row r="38" spans="1:9" ht="19.2" x14ac:dyDescent="0.4">
      <c r="A38" s="13" t="s">
        <v>3</v>
      </c>
      <c r="B38" s="10">
        <v>7</v>
      </c>
      <c r="C38" s="10">
        <v>0.05</v>
      </c>
      <c r="D38" s="10">
        <v>0.05</v>
      </c>
      <c r="E38" s="14">
        <v>0</v>
      </c>
      <c r="F38" s="14">
        <v>0</v>
      </c>
      <c r="G38" s="13" t="s">
        <v>6</v>
      </c>
      <c r="H38" s="10">
        <v>30</v>
      </c>
      <c r="I38" s="11" t="s">
        <v>25</v>
      </c>
    </row>
    <row r="39" spans="1:9" ht="19.2" x14ac:dyDescent="0.4">
      <c r="A39" s="13" t="s">
        <v>3</v>
      </c>
      <c r="B39" s="10">
        <v>8</v>
      </c>
      <c r="C39" s="10">
        <v>0.1</v>
      </c>
      <c r="D39" s="10">
        <v>0.1</v>
      </c>
      <c r="E39" s="14">
        <v>0</v>
      </c>
      <c r="F39" s="14">
        <v>0</v>
      </c>
      <c r="G39" s="13" t="s">
        <v>6</v>
      </c>
      <c r="H39" s="10">
        <v>20</v>
      </c>
      <c r="I39" s="11" t="s">
        <v>25</v>
      </c>
    </row>
    <row r="40" spans="1:9" ht="19.2" x14ac:dyDescent="0.4">
      <c r="A40" s="13" t="s">
        <v>3</v>
      </c>
      <c r="B40" s="10">
        <v>9</v>
      </c>
      <c r="C40" s="10">
        <v>0.125</v>
      </c>
      <c r="D40" s="10">
        <v>0.125</v>
      </c>
      <c r="E40" s="14">
        <v>0</v>
      </c>
      <c r="F40" s="14">
        <v>0</v>
      </c>
      <c r="G40" s="13" t="s">
        <v>6</v>
      </c>
      <c r="H40" s="10">
        <v>10</v>
      </c>
      <c r="I40" s="11" t="s">
        <v>25</v>
      </c>
    </row>
    <row r="41" spans="1:9" ht="19.2" x14ac:dyDescent="0.4">
      <c r="A41" s="13" t="s">
        <v>3</v>
      </c>
      <c r="B41" s="10">
        <v>10</v>
      </c>
      <c r="C41" s="10">
        <v>0.25</v>
      </c>
      <c r="D41" s="10">
        <v>0.25</v>
      </c>
      <c r="E41" s="14">
        <v>0</v>
      </c>
      <c r="F41" s="14">
        <v>0</v>
      </c>
      <c r="G41" s="13" t="s">
        <v>7</v>
      </c>
      <c r="H41" s="10">
        <v>2</v>
      </c>
      <c r="I41" s="11" t="s">
        <v>25</v>
      </c>
    </row>
    <row r="42" spans="1:9" ht="19.2" x14ac:dyDescent="0.4">
      <c r="A42" s="13" t="s">
        <v>4</v>
      </c>
      <c r="B42" s="10">
        <v>1</v>
      </c>
      <c r="C42" s="14">
        <v>0</v>
      </c>
      <c r="D42" s="10">
        <v>0.01</v>
      </c>
      <c r="E42" s="14">
        <v>0</v>
      </c>
      <c r="F42" s="14">
        <v>0</v>
      </c>
      <c r="G42" s="13" t="s">
        <v>0</v>
      </c>
      <c r="H42" s="10">
        <v>1000</v>
      </c>
      <c r="I42" s="11" t="s">
        <v>26</v>
      </c>
    </row>
    <row r="43" spans="1:9" ht="19.2" x14ac:dyDescent="0.4">
      <c r="A43" s="13" t="s">
        <v>4</v>
      </c>
      <c r="B43" s="10">
        <v>2</v>
      </c>
      <c r="C43" s="14">
        <v>0</v>
      </c>
      <c r="D43" s="10">
        <v>0.02</v>
      </c>
      <c r="E43" s="14">
        <v>0</v>
      </c>
      <c r="F43" s="14">
        <v>0</v>
      </c>
      <c r="G43" s="13" t="s">
        <v>0</v>
      </c>
      <c r="H43" s="10">
        <v>900</v>
      </c>
      <c r="I43" s="11" t="s">
        <v>26</v>
      </c>
    </row>
    <row r="44" spans="1:9" ht="19.2" x14ac:dyDescent="0.4">
      <c r="A44" s="13" t="s">
        <v>4</v>
      </c>
      <c r="B44" s="10">
        <v>3</v>
      </c>
      <c r="C44" s="14">
        <v>0</v>
      </c>
      <c r="D44" s="10">
        <v>0.03</v>
      </c>
      <c r="E44" s="14">
        <v>0</v>
      </c>
      <c r="F44" s="14">
        <v>0</v>
      </c>
      <c r="G44" s="13" t="s">
        <v>0</v>
      </c>
      <c r="H44" s="10">
        <v>800</v>
      </c>
      <c r="I44" s="11" t="s">
        <v>26</v>
      </c>
    </row>
    <row r="45" spans="1:9" ht="19.2" x14ac:dyDescent="0.4">
      <c r="A45" s="13" t="s">
        <v>4</v>
      </c>
      <c r="B45" s="10">
        <v>4</v>
      </c>
      <c r="C45" s="14">
        <v>0</v>
      </c>
      <c r="D45" s="10">
        <v>0.04</v>
      </c>
      <c r="E45" s="14">
        <v>0</v>
      </c>
      <c r="F45" s="14">
        <v>0</v>
      </c>
      <c r="G45" s="13" t="s">
        <v>5</v>
      </c>
      <c r="H45" s="10">
        <v>200</v>
      </c>
      <c r="I45" s="11" t="s">
        <v>26</v>
      </c>
    </row>
    <row r="46" spans="1:9" ht="19.2" x14ac:dyDescent="0.4">
      <c r="A46" s="13" t="s">
        <v>4</v>
      </c>
      <c r="B46" s="10">
        <v>5</v>
      </c>
      <c r="C46" s="14">
        <v>0</v>
      </c>
      <c r="D46" s="10">
        <v>0.05</v>
      </c>
      <c r="E46" s="14">
        <v>0</v>
      </c>
      <c r="F46" s="14">
        <v>0</v>
      </c>
      <c r="G46" s="13" t="s">
        <v>5</v>
      </c>
      <c r="H46" s="10">
        <v>150</v>
      </c>
      <c r="I46" s="11" t="s">
        <v>26</v>
      </c>
    </row>
    <row r="47" spans="1:9" ht="19.2" x14ac:dyDescent="0.4">
      <c r="A47" s="13" t="s">
        <v>4</v>
      </c>
      <c r="B47" s="10">
        <v>6</v>
      </c>
      <c r="C47" s="14">
        <v>0</v>
      </c>
      <c r="D47" s="10">
        <v>0.06</v>
      </c>
      <c r="E47" s="14">
        <v>0</v>
      </c>
      <c r="F47" s="14">
        <v>0</v>
      </c>
      <c r="G47" s="13" t="s">
        <v>5</v>
      </c>
      <c r="H47" s="10">
        <v>100</v>
      </c>
      <c r="I47" s="11" t="s">
        <v>26</v>
      </c>
    </row>
    <row r="48" spans="1:9" ht="19.2" x14ac:dyDescent="0.4">
      <c r="A48" s="13" t="s">
        <v>4</v>
      </c>
      <c r="B48" s="10">
        <v>7</v>
      </c>
      <c r="C48" s="14">
        <v>0</v>
      </c>
      <c r="D48" s="10">
        <v>0.1</v>
      </c>
      <c r="E48" s="14">
        <v>0</v>
      </c>
      <c r="F48" s="14">
        <v>0</v>
      </c>
      <c r="G48" s="13" t="s">
        <v>6</v>
      </c>
      <c r="H48" s="10">
        <v>30</v>
      </c>
      <c r="I48" s="11" t="s">
        <v>26</v>
      </c>
    </row>
    <row r="49" spans="1:9" ht="19.2" x14ac:dyDescent="0.4">
      <c r="A49" s="13" t="s">
        <v>4</v>
      </c>
      <c r="B49" s="10">
        <v>8</v>
      </c>
      <c r="C49" s="14">
        <v>0</v>
      </c>
      <c r="D49" s="10">
        <v>0.2</v>
      </c>
      <c r="E49" s="14">
        <v>0</v>
      </c>
      <c r="F49" s="14">
        <v>0</v>
      </c>
      <c r="G49" s="13" t="s">
        <v>6</v>
      </c>
      <c r="H49" s="10">
        <v>20</v>
      </c>
      <c r="I49" s="11" t="s">
        <v>26</v>
      </c>
    </row>
    <row r="50" spans="1:9" ht="19.2" x14ac:dyDescent="0.4">
      <c r="A50" s="13" t="s">
        <v>4</v>
      </c>
      <c r="B50" s="10">
        <v>9</v>
      </c>
      <c r="C50" s="14">
        <v>0</v>
      </c>
      <c r="D50" s="10">
        <v>0.25</v>
      </c>
      <c r="E50" s="14">
        <v>0</v>
      </c>
      <c r="F50" s="14">
        <v>0</v>
      </c>
      <c r="G50" s="13" t="s">
        <v>6</v>
      </c>
      <c r="H50" s="10">
        <v>10</v>
      </c>
      <c r="I50" s="11" t="s">
        <v>26</v>
      </c>
    </row>
    <row r="51" spans="1:9" ht="19.2" x14ac:dyDescent="0.4">
      <c r="A51" s="13" t="s">
        <v>4</v>
      </c>
      <c r="B51" s="10">
        <v>10</v>
      </c>
      <c r="C51" s="14">
        <v>0</v>
      </c>
      <c r="D51" s="10">
        <v>0.5</v>
      </c>
      <c r="E51" s="14">
        <v>0</v>
      </c>
      <c r="F51" s="10">
        <v>0.1</v>
      </c>
      <c r="G51" s="13" t="s">
        <v>7</v>
      </c>
      <c r="H51" s="10">
        <v>2</v>
      </c>
      <c r="I51" s="11" t="s">
        <v>27</v>
      </c>
    </row>
    <row r="52" spans="1:9" ht="19.2" x14ac:dyDescent="0.4">
      <c r="A52" s="13" t="s">
        <v>13</v>
      </c>
      <c r="B52" s="10">
        <v>1</v>
      </c>
      <c r="C52" s="10">
        <v>0.01</v>
      </c>
      <c r="D52" s="14">
        <v>0</v>
      </c>
      <c r="E52" s="14">
        <v>0</v>
      </c>
      <c r="F52" s="14">
        <v>0</v>
      </c>
      <c r="G52" s="13" t="s">
        <v>0</v>
      </c>
      <c r="H52" s="10">
        <v>1000</v>
      </c>
      <c r="I52" s="11" t="s">
        <v>21</v>
      </c>
    </row>
    <row r="53" spans="1:9" ht="19.2" x14ac:dyDescent="0.4">
      <c r="A53" s="13" t="s">
        <v>13</v>
      </c>
      <c r="B53" s="10">
        <v>2</v>
      </c>
      <c r="C53" s="10">
        <v>0.02</v>
      </c>
      <c r="D53" s="14">
        <v>0</v>
      </c>
      <c r="E53" s="14">
        <v>0</v>
      </c>
      <c r="F53" s="14">
        <v>0</v>
      </c>
      <c r="G53" s="13" t="s">
        <v>0</v>
      </c>
      <c r="H53" s="10">
        <v>900</v>
      </c>
      <c r="I53" s="11" t="s">
        <v>21</v>
      </c>
    </row>
    <row r="54" spans="1:9" ht="19.2" x14ac:dyDescent="0.4">
      <c r="A54" s="13" t="s">
        <v>13</v>
      </c>
      <c r="B54" s="10">
        <v>3</v>
      </c>
      <c r="C54" s="10">
        <v>0.03</v>
      </c>
      <c r="D54" s="14">
        <v>0</v>
      </c>
      <c r="E54" s="14">
        <v>0</v>
      </c>
      <c r="F54" s="14">
        <v>0</v>
      </c>
      <c r="G54" s="13" t="s">
        <v>0</v>
      </c>
      <c r="H54" s="10">
        <v>800</v>
      </c>
      <c r="I54" s="11" t="s">
        <v>21</v>
      </c>
    </row>
    <row r="55" spans="1:9" ht="19.2" x14ac:dyDescent="0.4">
      <c r="A55" s="13" t="s">
        <v>13</v>
      </c>
      <c r="B55" s="10">
        <v>4</v>
      </c>
      <c r="C55" s="10">
        <v>0.04</v>
      </c>
      <c r="D55" s="14">
        <v>0</v>
      </c>
      <c r="E55" s="14">
        <v>0</v>
      </c>
      <c r="F55" s="14">
        <v>0</v>
      </c>
      <c r="G55" s="13" t="s">
        <v>5</v>
      </c>
      <c r="H55" s="10">
        <v>200</v>
      </c>
      <c r="I55" s="11" t="s">
        <v>21</v>
      </c>
    </row>
    <row r="56" spans="1:9" ht="19.2" x14ac:dyDescent="0.4">
      <c r="A56" s="13" t="s">
        <v>13</v>
      </c>
      <c r="B56" s="10">
        <v>5</v>
      </c>
      <c r="C56" s="10">
        <v>0.05</v>
      </c>
      <c r="D56" s="14">
        <v>0</v>
      </c>
      <c r="E56" s="14">
        <v>0</v>
      </c>
      <c r="F56" s="14">
        <v>0</v>
      </c>
      <c r="G56" s="13" t="s">
        <v>5</v>
      </c>
      <c r="H56" s="10">
        <v>150</v>
      </c>
      <c r="I56" s="11" t="s">
        <v>21</v>
      </c>
    </row>
    <row r="57" spans="1:9" ht="19.2" x14ac:dyDescent="0.4">
      <c r="A57" s="13" t="s">
        <v>13</v>
      </c>
      <c r="B57" s="10">
        <v>6</v>
      </c>
      <c r="C57" s="10">
        <v>0.06</v>
      </c>
      <c r="D57" s="14">
        <v>0</v>
      </c>
      <c r="E57" s="14">
        <v>0</v>
      </c>
      <c r="F57" s="14">
        <v>0</v>
      </c>
      <c r="G57" s="13" t="s">
        <v>5</v>
      </c>
      <c r="H57" s="10">
        <v>100</v>
      </c>
      <c r="I57" s="11" t="s">
        <v>21</v>
      </c>
    </row>
    <row r="58" spans="1:9" ht="19.2" x14ac:dyDescent="0.4">
      <c r="A58" s="13" t="s">
        <v>13</v>
      </c>
      <c r="B58" s="10">
        <v>7</v>
      </c>
      <c r="C58" s="10">
        <v>0.1</v>
      </c>
      <c r="D58" s="14">
        <v>0</v>
      </c>
      <c r="E58" s="14">
        <v>0</v>
      </c>
      <c r="F58" s="14">
        <v>0</v>
      </c>
      <c r="G58" s="13" t="s">
        <v>6</v>
      </c>
      <c r="H58" s="10">
        <v>30</v>
      </c>
      <c r="I58" s="11" t="s">
        <v>21</v>
      </c>
    </row>
    <row r="59" spans="1:9" ht="19.2" x14ac:dyDescent="0.4">
      <c r="A59" s="13" t="s">
        <v>13</v>
      </c>
      <c r="B59" s="10">
        <v>8</v>
      </c>
      <c r="C59" s="10">
        <v>0.2</v>
      </c>
      <c r="D59" s="14">
        <v>0</v>
      </c>
      <c r="E59" s="14">
        <v>0</v>
      </c>
      <c r="F59" s="14">
        <v>0</v>
      </c>
      <c r="G59" s="13" t="s">
        <v>6</v>
      </c>
      <c r="H59" s="10">
        <v>20</v>
      </c>
      <c r="I59" s="11" t="s">
        <v>21</v>
      </c>
    </row>
    <row r="60" spans="1:9" ht="19.2" x14ac:dyDescent="0.4">
      <c r="A60" s="13" t="s">
        <v>13</v>
      </c>
      <c r="B60" s="10">
        <v>9</v>
      </c>
      <c r="C60" s="10">
        <v>0.25</v>
      </c>
      <c r="D60" s="14">
        <v>0</v>
      </c>
      <c r="E60" s="14">
        <v>0</v>
      </c>
      <c r="F60" s="14">
        <v>0</v>
      </c>
      <c r="G60" s="13" t="s">
        <v>6</v>
      </c>
      <c r="H60" s="10">
        <v>10</v>
      </c>
      <c r="I60" s="11" t="s">
        <v>21</v>
      </c>
    </row>
    <row r="61" spans="1:9" ht="19.2" x14ac:dyDescent="0.4">
      <c r="A61" s="13" t="s">
        <v>13</v>
      </c>
      <c r="B61" s="10">
        <v>10</v>
      </c>
      <c r="C61" s="10">
        <v>0.5</v>
      </c>
      <c r="D61" s="14">
        <v>0</v>
      </c>
      <c r="E61" s="14">
        <v>0</v>
      </c>
      <c r="F61" s="10">
        <v>0.1</v>
      </c>
      <c r="G61" s="13" t="s">
        <v>7</v>
      </c>
      <c r="H61" s="10">
        <v>2</v>
      </c>
      <c r="I61" s="11" t="s">
        <v>24</v>
      </c>
    </row>
  </sheetData>
  <autoFilter ref="A1:H61" xr:uid="{C421039B-97CD-424E-BC53-CD501C6EBFC2}"/>
  <sortState xmlns:xlrd2="http://schemas.microsoft.com/office/spreadsheetml/2017/richdata2" ref="A2:H61">
    <sortCondition ref="A2:A61"/>
    <sortCondition ref="B2:B61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승용 이</dc:creator>
  <cp:lastModifiedBy>승용 이</cp:lastModifiedBy>
  <dcterms:created xsi:type="dcterms:W3CDTF">2026-03-28T06:49:13Z</dcterms:created>
  <dcterms:modified xsi:type="dcterms:W3CDTF">2026-03-31T15:00:10Z</dcterms:modified>
</cp:coreProperties>
</file>