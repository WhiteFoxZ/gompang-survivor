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TY\gompang-survivor\Assets\"/>
    </mc:Choice>
  </mc:AlternateContent>
  <xr:revisionPtr revIDLastSave="0" documentId="13_ncr:1_{EE0D87C8-20DE-4546-B6A2-C2672F0DFC92}" xr6:coauthVersionLast="47" xr6:coauthVersionMax="47" xr10:uidLastSave="{00000000-0000-0000-0000-000000000000}"/>
  <bookViews>
    <workbookView xWindow="-108" yWindow="-108" windowWidth="23256" windowHeight="12456" activeTab="2" xr2:uid="{6609E6BD-B421-4305-A941-8033F08D5DC9}"/>
  </bookViews>
  <sheets>
    <sheet name="장비아이템" sheetId="2" r:id="rId1"/>
    <sheet name="MAP" sheetId="3" r:id="rId2"/>
    <sheet name="Enemy" sheetId="4" r:id="rId3"/>
  </sheets>
  <definedNames>
    <definedName name="_xlnm._FilterDatabase" localSheetId="0" hidden="1">장비아이템!$A$1:$H$61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2" l="1"/>
  <c r="P10" i="2"/>
  <c r="P9" i="2"/>
  <c r="P8" i="2"/>
  <c r="M10" i="2"/>
  <c r="M9" i="2"/>
  <c r="M8" i="2"/>
  <c r="M7" i="2"/>
  <c r="M6" i="2"/>
  <c r="M5" i="2"/>
  <c r="J3" i="2"/>
  <c r="J4" i="2"/>
  <c r="J5" i="2"/>
  <c r="J6" i="2"/>
  <c r="J7" i="2"/>
  <c r="J2" i="2"/>
</calcChain>
</file>

<file path=xl/sharedStrings.xml><?xml version="1.0" encoding="utf-8"?>
<sst xmlns="http://schemas.openxmlformats.org/spreadsheetml/2006/main" count="869" uniqueCount="271">
  <si>
    <t>Common</t>
  </si>
  <si>
    <t>BodyArmor</t>
  </si>
  <si>
    <t>Gloves</t>
  </si>
  <si>
    <t>Pants</t>
  </si>
  <si>
    <t>Rare</t>
  </si>
  <si>
    <t>Epic</t>
  </si>
  <si>
    <t>Legendary</t>
  </si>
  <si>
    <t>atack</t>
  </si>
  <si>
    <t>defence</t>
  </si>
  <si>
    <t>moveSpeed</t>
  </si>
  <si>
    <t>atkSpeed</t>
  </si>
  <si>
    <t>Ring</t>
  </si>
  <si>
    <t>BodyArmor2</t>
  </si>
  <si>
    <t>BodyArmor3</t>
  </si>
  <si>
    <t>BodyArmor4</t>
  </si>
  <si>
    <t>BodyArmor5</t>
  </si>
  <si>
    <t>BodyArmor6</t>
  </si>
  <si>
    <t>BodyArmor7</t>
  </si>
  <si>
    <t>BodyArmor8</t>
  </si>
  <si>
    <t>BodyArmor9</t>
  </si>
  <si>
    <t>BodyArmor10</t>
  </si>
  <si>
    <t>Gloves2</t>
  </si>
  <si>
    <t>Gloves3</t>
  </si>
  <si>
    <t>Gloves4</t>
  </si>
  <si>
    <t>Gloves5</t>
  </si>
  <si>
    <t>Gloves6</t>
  </si>
  <si>
    <t>Gloves7</t>
  </si>
  <si>
    <t>Gloves8</t>
  </si>
  <si>
    <t>Gloves9</t>
  </si>
  <si>
    <t>Gloves10</t>
  </si>
  <si>
    <t>Pants2</t>
  </si>
  <si>
    <t>Pants3</t>
  </si>
  <si>
    <t>Pants4</t>
  </si>
  <si>
    <t>Pants5</t>
  </si>
  <si>
    <t>Pants6</t>
  </si>
  <si>
    <t>Pants7</t>
  </si>
  <si>
    <t>Pants8</t>
  </si>
  <si>
    <t>Pants9</t>
  </si>
  <si>
    <t>Pants10</t>
  </si>
  <si>
    <t>Ring2</t>
  </si>
  <si>
    <t>Ring3</t>
  </si>
  <si>
    <t>Ring4</t>
  </si>
  <si>
    <t>Ring5</t>
  </si>
  <si>
    <t>Ring6</t>
  </si>
  <si>
    <t>Ring7</t>
  </si>
  <si>
    <t>Ring8</t>
  </si>
  <si>
    <t>Ring9</t>
  </si>
  <si>
    <t>Ring10</t>
  </si>
  <si>
    <t>GearType</t>
  </si>
  <si>
    <t>Id</t>
  </si>
  <si>
    <t>ItemRarity</t>
  </si>
  <si>
    <t>WEIGHT</t>
  </si>
  <si>
    <t>DESC</t>
  </si>
  <si>
    <t>BodyArmor1</t>
  </si>
  <si>
    <t>방어력 {0}% 증가</t>
  </si>
  <si>
    <t>공격력 {0}% 증가\n방어력 {1} 증가</t>
  </si>
  <si>
    <t>Dron</t>
  </si>
  <si>
    <t>Dron1</t>
  </si>
  <si>
    <t>공격력 {0}% 증가</t>
  </si>
  <si>
    <t>Dron2</t>
  </si>
  <si>
    <t>Dron3</t>
  </si>
  <si>
    <t>Dron4</t>
  </si>
  <si>
    <t>Dron5</t>
  </si>
  <si>
    <t>Dron6</t>
  </si>
  <si>
    <t>Dron7</t>
  </si>
  <si>
    <t>공격력 {0}% 증가\n회전속도 {1} 증가</t>
  </si>
  <si>
    <t>Dron8</t>
  </si>
  <si>
    <t>Dron9</t>
  </si>
  <si>
    <t>Dron10</t>
  </si>
  <si>
    <t>Gloves1</t>
  </si>
  <si>
    <t>공격속도 {0}% 증가</t>
  </si>
  <si>
    <t>공격력 {0}% 증가\n공격속도 {1} 증가</t>
  </si>
  <si>
    <t>Necklace</t>
  </si>
  <si>
    <t>Necklace1</t>
  </si>
  <si>
    <t>Necklace2</t>
  </si>
  <si>
    <t>Necklace3</t>
  </si>
  <si>
    <t>Necklace4</t>
  </si>
  <si>
    <t>Necklace5</t>
  </si>
  <si>
    <t>Necklace6</t>
  </si>
  <si>
    <t>Necklace7</t>
  </si>
  <si>
    <t>Necklace8</t>
  </si>
  <si>
    <t>Necklace9</t>
  </si>
  <si>
    <t>Necklace10</t>
  </si>
  <si>
    <t>Pants1</t>
  </si>
  <si>
    <t>방어력 {1} 증가</t>
  </si>
  <si>
    <t>방어력 {0}% 증가\n공격속도 {1} 증가</t>
  </si>
  <si>
    <t>Ring1</t>
  </si>
  <si>
    <t>스테이지ID</t>
  </si>
  <si>
    <t>스테이지이름</t>
  </si>
  <si>
    <t>스테이지설명</t>
  </si>
  <si>
    <t>스테이지보스출현</t>
  </si>
  <si>
    <t>서울특별시</t>
  </si>
  <si>
    <t>Y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</si>
  <si>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</si>
  <si>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</si>
  <si>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</si>
  <si>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</si>
  <si>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</si>
  <si>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</si>
  <si>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</si>
  <si>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수원시</t>
  </si>
  <si>
    <t>성남시</t>
  </si>
  <si>
    <t>의정부시</t>
  </si>
  <si>
    <t>안양시</t>
  </si>
  <si>
    <t>부천시</t>
  </si>
  <si>
    <t>광명시</t>
  </si>
  <si>
    <t>평택시</t>
  </si>
  <si>
    <t>동두천시</t>
  </si>
  <si>
    <t>안산시</t>
  </si>
  <si>
    <t>고양시</t>
  </si>
  <si>
    <t>과천시</t>
  </si>
  <si>
    <t>구리시</t>
  </si>
  <si>
    <t>남양주시</t>
  </si>
  <si>
    <t>오산시</t>
  </si>
  <si>
    <t>시흥시</t>
  </si>
  <si>
    <t>군포시</t>
  </si>
  <si>
    <t>의왕시</t>
  </si>
  <si>
    <t>하남시</t>
  </si>
  <si>
    <t>용인시</t>
  </si>
  <si>
    <t>파주시</t>
  </si>
  <si>
    <t>이천시</t>
  </si>
  <si>
    <t>안성시</t>
  </si>
  <si>
    <t>김포시</t>
  </si>
  <si>
    <t>화성시</t>
  </si>
  <si>
    <t>광주시</t>
  </si>
  <si>
    <t>양주시</t>
  </si>
  <si>
    <t>포천시</t>
  </si>
  <si>
    <t>여주시</t>
  </si>
  <si>
    <t>춘천시</t>
  </si>
  <si>
    <t>원주시</t>
  </si>
  <si>
    <t>강릉시</t>
  </si>
  <si>
    <t>동해시</t>
  </si>
  <si>
    <t>태백시</t>
  </si>
  <si>
    <t>속초시</t>
  </si>
  <si>
    <t>삼척시</t>
  </si>
  <si>
    <t>청주시</t>
  </si>
  <si>
    <t>충주시</t>
  </si>
  <si>
    <t>제천시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</si>
  <si>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</si>
  <si>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</si>
  <si>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</si>
  <si>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</si>
  <si>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</si>
  <si>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</si>
  <si>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</si>
  <si>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</si>
  <si>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전주시</t>
  </si>
  <si>
    <t>군산시</t>
  </si>
  <si>
    <t>익산시</t>
  </si>
  <si>
    <t>정읍시</t>
  </si>
  <si>
    <t>남원시</t>
  </si>
  <si>
    <t>김제시</t>
  </si>
  <si>
    <t>목포시</t>
  </si>
  <si>
    <t>여수시</t>
  </si>
  <si>
    <t>순천시</t>
  </si>
  <si>
    <t>나주시</t>
  </si>
  <si>
    <t>광양시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</si>
  <si>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</si>
  <si>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</si>
  <si>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</si>
  <si>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</si>
  <si>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</si>
  <si>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</si>
  <si>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</si>
  <si>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</si>
  <si>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</si>
  <si>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</si>
  <si>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</si>
  <si>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</si>
  <si>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</si>
  <si>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</si>
  <si>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</si>
  <si>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</si>
  <si>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</si>
  <si>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</si>
  <si>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제주시</t>
  </si>
  <si>
    <t>서귀포시</t>
  </si>
  <si>
    <t>spawnTime</t>
  </si>
  <si>
    <t>spriteType</t>
  </si>
  <si>
    <t>health</t>
  </si>
  <si>
    <t>speed</t>
  </si>
  <si>
    <t>attack</t>
  </si>
  <si>
    <t>0,1</t>
    <phoneticPr fontId="1" type="noConversion"/>
  </si>
  <si>
    <t>2,1</t>
    <phoneticPr fontId="1" type="noConversion"/>
  </si>
  <si>
    <t>1,1.5</t>
    <phoneticPr fontId="1" type="noConversion"/>
  </si>
  <si>
    <t>10,20</t>
    <phoneticPr fontId="1" type="noConversion"/>
  </si>
  <si>
    <t>0,2</t>
  </si>
  <si>
    <t>0,3</t>
  </si>
  <si>
    <t>0,4</t>
  </si>
  <si>
    <t>0,5</t>
  </si>
  <si>
    <t>0,6</t>
  </si>
  <si>
    <t>0,7</t>
  </si>
  <si>
    <t>0,8</t>
  </si>
  <si>
    <t>0,9</t>
  </si>
  <si>
    <t>0,10</t>
  </si>
  <si>
    <t>0,11</t>
  </si>
  <si>
    <t>0,12</t>
  </si>
  <si>
    <t>0,13</t>
  </si>
  <si>
    <t>0,14</t>
  </si>
  <si>
    <t>0,15</t>
  </si>
  <si>
    <t>0,16</t>
  </si>
  <si>
    <t>0,17</t>
  </si>
  <si>
    <t>0,18</t>
  </si>
  <si>
    <t>0,19</t>
  </si>
  <si>
    <t>0,20</t>
  </si>
  <si>
    <t>0,21</t>
  </si>
  <si>
    <t>0,22</t>
  </si>
  <si>
    <t>0,23</t>
  </si>
  <si>
    <t>0,24</t>
  </si>
  <si>
    <t>0,25</t>
  </si>
  <si>
    <t>0,26</t>
  </si>
  <si>
    <t>0,27</t>
  </si>
  <si>
    <t>0,28</t>
  </si>
  <si>
    <t>0,29</t>
  </si>
  <si>
    <t>0,30</t>
  </si>
  <si>
    <t>0,31</t>
  </si>
  <si>
    <t>0,32</t>
  </si>
  <si>
    <t>0,33</t>
  </si>
  <si>
    <t>0,34</t>
  </si>
  <si>
    <t>0,35</t>
  </si>
  <si>
    <t>0,36</t>
  </si>
  <si>
    <t>0,37</t>
  </si>
  <si>
    <t>0,38</t>
  </si>
  <si>
    <t>0,39</t>
  </si>
  <si>
    <t>0,40</t>
  </si>
  <si>
    <t>0,41</t>
  </si>
  <si>
    <t>0,42</t>
  </si>
  <si>
    <t>0,43</t>
  </si>
  <si>
    <t>0,44</t>
  </si>
  <si>
    <t>0,45</t>
  </si>
  <si>
    <t>0,46</t>
  </si>
  <si>
    <t>0,47</t>
  </si>
  <si>
    <t>0,48</t>
  </si>
  <si>
    <t>0,49</t>
  </si>
  <si>
    <t>0,50</t>
  </si>
  <si>
    <t>0,51</t>
  </si>
  <si>
    <t>0,52</t>
  </si>
  <si>
    <t>0,53</t>
  </si>
  <si>
    <t>0,54</t>
  </si>
  <si>
    <t>0,55</t>
  </si>
  <si>
    <t>0,56</t>
  </si>
  <si>
    <t>0,57</t>
  </si>
  <si>
    <t>0,58</t>
  </si>
  <si>
    <t>0,59</t>
  </si>
  <si>
    <t>0,60</t>
  </si>
  <si>
    <t>0,61</t>
  </si>
  <si>
    <t>0,62</t>
  </si>
  <si>
    <t>0,63</t>
  </si>
  <si>
    <t>0,64</t>
  </si>
  <si>
    <t>0,65</t>
  </si>
  <si>
    <t>0,66</t>
  </si>
  <si>
    <t>0,67</t>
  </si>
  <si>
    <t>0,68</t>
  </si>
  <si>
    <t>0,69</t>
  </si>
  <si>
    <t>0,70</t>
  </si>
  <si>
    <t>0,71</t>
  </si>
  <si>
    <t>0,72</t>
  </si>
  <si>
    <t>0,73</t>
  </si>
  <si>
    <t>0,74</t>
  </si>
  <si>
    <t>0,75</t>
  </si>
  <si>
    <t>0,76</t>
  </si>
  <si>
    <t>0,77</t>
  </si>
  <si>
    <t>0,78</t>
  </si>
  <si>
    <t>0,79</t>
  </si>
  <si>
    <t>0,80</t>
  </si>
  <si>
    <t>0,81</t>
  </si>
  <si>
    <t>0,82</t>
  </si>
  <si>
    <t>0,83</t>
  </si>
  <si>
    <t>0,84</t>
  </si>
  <si>
    <t>0,85</t>
  </si>
  <si>
    <t>spawnTime계산기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</si>
</sst>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0A0A0A"/>
      <name val="Arial"/>
      <family val="2"/>
    </font>
    <font>
      <sz val="11"/>
      <color rgb="FF0A0A0A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right" vertical="top" wrapText="1"/>
    </xf>
    <xf numFmtId="0" fontId="3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horizontal="right" vertical="top" wrapText="1"/>
    </xf>
    <xf numFmtId="0" fontId="0" fillId="0" borderId="2" xfId="0" applyBorder="1">
      <alignment vertical="center"/>
    </xf>
    <xf numFmtId="0" fontId="2" fillId="2" borderId="3" xfId="0" applyFont="1" applyFill="1" applyBorder="1" applyAlignment="1">
      <alignment vertical="top" wrapText="1"/>
    </xf>
    <xf numFmtId="0" fontId="2" fillId="2" borderId="4" xfId="0" applyFont="1" applyFill="1" applyBorder="1" applyAlignment="1">
      <alignment vertical="top" wrapText="1"/>
    </xf>
    <xf numFmtId="0" fontId="3" fillId="2" borderId="5" xfId="0" applyFont="1" applyFill="1" applyBorder="1" applyAlignment="1">
      <alignment vertical="top" wrapText="1"/>
    </xf>
    <xf numFmtId="0" fontId="3" fillId="2" borderId="6" xfId="0" applyFont="1" applyFill="1" applyBorder="1" applyAlignment="1">
      <alignment vertical="top" wrapText="1"/>
    </xf>
    <xf numFmtId="0" fontId="4" fillId="2" borderId="6" xfId="0" applyFont="1" applyFill="1" applyBorder="1" applyAlignment="1">
      <alignment horizontal="right" vertical="top" wrapText="1"/>
    </xf>
    <xf numFmtId="0" fontId="3" fillId="2" borderId="6" xfId="0" applyFont="1" applyFill="1" applyBorder="1" applyAlignment="1">
      <alignment horizontal="right" vertical="top" wrapText="1"/>
    </xf>
    <xf numFmtId="0" fontId="3" fillId="5" borderId="6" xfId="0" applyFont="1" applyFill="1" applyBorder="1" applyAlignment="1">
      <alignment vertical="top" wrapText="1"/>
    </xf>
    <xf numFmtId="0" fontId="3" fillId="5" borderId="6" xfId="0" applyFont="1" applyFill="1" applyBorder="1" applyAlignment="1">
      <alignment horizontal="right" vertical="top" wrapText="1"/>
    </xf>
    <xf numFmtId="0" fontId="5" fillId="0" borderId="6" xfId="0" applyFont="1" applyBorder="1" applyAlignment="1">
      <alignment wrapText="1"/>
    </xf>
    <xf numFmtId="0" fontId="3" fillId="0" borderId="6" xfId="0" applyFont="1" applyBorder="1" applyAlignment="1">
      <alignment vertical="top" wrapText="1"/>
    </xf>
    <xf numFmtId="0" fontId="3" fillId="0" borderId="6" xfId="0" applyFont="1" applyBorder="1" applyAlignment="1">
      <alignment horizontal="right" vertical="top" wrapText="1"/>
    </xf>
    <xf numFmtId="0" fontId="4" fillId="6" borderId="1" xfId="0" applyFont="1" applyFill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3" fontId="0" fillId="0" borderId="1" xfId="0" applyNumberForma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1039B-97CD-424E-BC53-CD501C6EBFC2}">
  <dimension ref="A1:P61"/>
  <sheetViews>
    <sheetView topLeftCell="A50" workbookViewId="0">
      <selection sqref="A1:I61"/>
    </sheetView>
  </sheetViews>
  <sheetFormatPr defaultRowHeight="17.399999999999999" x14ac:dyDescent="0.4"/>
  <cols>
    <col min="1" max="1" width="14.69921875" bestFit="1" customWidth="1"/>
    <col min="2" max="2" width="12.3984375" customWidth="1"/>
    <col min="3" max="3" width="8" bestFit="1" customWidth="1"/>
    <col min="4" max="4" width="10.5" bestFit="1" customWidth="1"/>
    <col min="5" max="6" width="14" customWidth="1"/>
    <col min="7" max="7" width="14.09765625" bestFit="1" customWidth="1"/>
    <col min="8" max="8" width="10.296875" customWidth="1"/>
    <col min="9" max="9" width="37.8984375" customWidth="1"/>
    <col min="14" max="14" width="13.796875" customWidth="1"/>
    <col min="16" max="16" width="18.5" customWidth="1"/>
  </cols>
  <sheetData>
    <row r="1" spans="1:16" ht="18" thickBot="1" x14ac:dyDescent="0.45">
      <c r="A1" s="7" t="s">
        <v>48</v>
      </c>
      <c r="B1" s="8" t="s">
        <v>49</v>
      </c>
      <c r="C1" s="8" t="s">
        <v>7</v>
      </c>
      <c r="D1" s="8" t="s">
        <v>8</v>
      </c>
      <c r="E1" s="8" t="s">
        <v>9</v>
      </c>
      <c r="F1" s="8" t="s">
        <v>10</v>
      </c>
      <c r="G1" s="8" t="s">
        <v>50</v>
      </c>
      <c r="H1" s="8" t="s">
        <v>51</v>
      </c>
      <c r="I1" s="8" t="s">
        <v>52</v>
      </c>
    </row>
    <row r="2" spans="1:16" ht="18" thickBot="1" x14ac:dyDescent="0.3">
      <c r="A2" s="9" t="s">
        <v>1</v>
      </c>
      <c r="B2" s="10" t="s">
        <v>53</v>
      </c>
      <c r="C2" s="11">
        <v>0</v>
      </c>
      <c r="D2" s="12">
        <v>0.01</v>
      </c>
      <c r="E2" s="11">
        <v>0</v>
      </c>
      <c r="F2" s="11">
        <v>0</v>
      </c>
      <c r="G2" s="13" t="s">
        <v>0</v>
      </c>
      <c r="H2" s="14">
        <v>1000</v>
      </c>
      <c r="I2" s="15" t="s">
        <v>54</v>
      </c>
      <c r="J2" s="6">
        <f t="shared" ref="J2:J7" si="0">H2 / SUM($H$2:$H$7)*100</f>
        <v>31.746031746031743</v>
      </c>
      <c r="K2" s="1"/>
      <c r="L2" s="1"/>
      <c r="M2" s="1"/>
      <c r="N2" s="1"/>
      <c r="O2" s="1"/>
      <c r="P2" s="1"/>
    </row>
    <row r="3" spans="1:16" ht="18" thickBot="1" x14ac:dyDescent="0.3">
      <c r="A3" s="9" t="s">
        <v>1</v>
      </c>
      <c r="B3" s="10" t="s">
        <v>12</v>
      </c>
      <c r="C3" s="11">
        <v>0</v>
      </c>
      <c r="D3" s="12">
        <v>0.02</v>
      </c>
      <c r="E3" s="11">
        <v>0</v>
      </c>
      <c r="F3" s="11">
        <v>0</v>
      </c>
      <c r="G3" s="13" t="s">
        <v>0</v>
      </c>
      <c r="H3" s="14">
        <v>900</v>
      </c>
      <c r="I3" s="15" t="s">
        <v>54</v>
      </c>
      <c r="J3" s="6">
        <f t="shared" si="0"/>
        <v>28.571428571428569</v>
      </c>
      <c r="K3" s="1"/>
      <c r="L3" s="1"/>
      <c r="M3" s="1"/>
      <c r="N3" s="1"/>
      <c r="O3" s="1"/>
      <c r="P3" s="1"/>
    </row>
    <row r="4" spans="1:16" ht="18" thickBot="1" x14ac:dyDescent="0.3">
      <c r="A4" s="9" t="s">
        <v>1</v>
      </c>
      <c r="B4" s="10" t="s">
        <v>13</v>
      </c>
      <c r="C4" s="11">
        <v>0</v>
      </c>
      <c r="D4" s="12">
        <v>0.03</v>
      </c>
      <c r="E4" s="11">
        <v>0</v>
      </c>
      <c r="F4" s="11">
        <v>0</v>
      </c>
      <c r="G4" s="13" t="s">
        <v>0</v>
      </c>
      <c r="H4" s="14">
        <v>800</v>
      </c>
      <c r="I4" s="15" t="s">
        <v>54</v>
      </c>
      <c r="J4" s="6">
        <f t="shared" si="0"/>
        <v>25.396825396825395</v>
      </c>
      <c r="K4" s="1"/>
      <c r="L4" s="1"/>
      <c r="M4" s="1"/>
      <c r="N4" s="1"/>
      <c r="O4" s="1"/>
      <c r="P4" s="1"/>
    </row>
    <row r="5" spans="1:16" ht="18" thickBot="1" x14ac:dyDescent="0.3">
      <c r="A5" s="9" t="s">
        <v>1</v>
      </c>
      <c r="B5" s="10" t="s">
        <v>14</v>
      </c>
      <c r="C5" s="11">
        <v>0</v>
      </c>
      <c r="D5" s="12">
        <v>0.04</v>
      </c>
      <c r="E5" s="11">
        <v>0</v>
      </c>
      <c r="F5" s="11">
        <v>0</v>
      </c>
      <c r="G5" s="13" t="s">
        <v>4</v>
      </c>
      <c r="H5" s="14">
        <v>200</v>
      </c>
      <c r="I5" s="15" t="s">
        <v>54</v>
      </c>
      <c r="J5" s="6">
        <f t="shared" si="0"/>
        <v>6.3492063492063489</v>
      </c>
      <c r="K5" s="2" t="s">
        <v>4</v>
      </c>
      <c r="L5" s="3">
        <v>200</v>
      </c>
      <c r="M5" s="1">
        <f>L5/SUM($L$5:$L$10)*100</f>
        <v>39.215686274509807</v>
      </c>
      <c r="N5" s="1"/>
      <c r="O5" s="1"/>
      <c r="P5" s="1"/>
    </row>
    <row r="6" spans="1:16" ht="18" thickBot="1" x14ac:dyDescent="0.3">
      <c r="A6" s="9" t="s">
        <v>1</v>
      </c>
      <c r="B6" s="10" t="s">
        <v>15</v>
      </c>
      <c r="C6" s="11">
        <v>0</v>
      </c>
      <c r="D6" s="12">
        <v>0.05</v>
      </c>
      <c r="E6" s="11">
        <v>0</v>
      </c>
      <c r="F6" s="11">
        <v>0</v>
      </c>
      <c r="G6" s="13" t="s">
        <v>4</v>
      </c>
      <c r="H6" s="14">
        <v>150</v>
      </c>
      <c r="I6" s="15" t="s">
        <v>54</v>
      </c>
      <c r="J6" s="6">
        <f t="shared" si="0"/>
        <v>4.7619047619047619</v>
      </c>
      <c r="K6" s="2" t="s">
        <v>4</v>
      </c>
      <c r="L6" s="3">
        <v>150</v>
      </c>
      <c r="M6" s="1">
        <f t="shared" ref="M6:M10" si="1">L6/SUM($L$5:$L$10)*100</f>
        <v>29.411764705882355</v>
      </c>
      <c r="N6" s="1"/>
      <c r="O6" s="1"/>
      <c r="P6" s="1"/>
    </row>
    <row r="7" spans="1:16" ht="18" thickBot="1" x14ac:dyDescent="0.3">
      <c r="A7" s="9" t="s">
        <v>1</v>
      </c>
      <c r="B7" s="10" t="s">
        <v>16</v>
      </c>
      <c r="C7" s="11">
        <v>0</v>
      </c>
      <c r="D7" s="12">
        <v>0.06</v>
      </c>
      <c r="E7" s="11">
        <v>0</v>
      </c>
      <c r="F7" s="11">
        <v>0</v>
      </c>
      <c r="G7" s="13" t="s">
        <v>4</v>
      </c>
      <c r="H7" s="14">
        <v>100</v>
      </c>
      <c r="I7" s="15" t="s">
        <v>54</v>
      </c>
      <c r="J7" s="6">
        <f t="shared" si="0"/>
        <v>3.1746031746031744</v>
      </c>
      <c r="K7" s="2" t="s">
        <v>4</v>
      </c>
      <c r="L7" s="3">
        <v>100</v>
      </c>
      <c r="M7" s="1">
        <f t="shared" si="1"/>
        <v>19.607843137254903</v>
      </c>
      <c r="N7" s="1"/>
      <c r="O7" s="1"/>
      <c r="P7" s="1"/>
    </row>
    <row r="8" spans="1:16" ht="18" thickBot="1" x14ac:dyDescent="0.3">
      <c r="A8" s="9" t="s">
        <v>1</v>
      </c>
      <c r="B8" s="10" t="s">
        <v>17</v>
      </c>
      <c r="C8" s="11">
        <v>0</v>
      </c>
      <c r="D8" s="12">
        <v>0.1</v>
      </c>
      <c r="E8" s="11">
        <v>0</v>
      </c>
      <c r="F8" s="11">
        <v>0</v>
      </c>
      <c r="G8" s="16" t="s">
        <v>5</v>
      </c>
      <c r="H8" s="17">
        <v>30</v>
      </c>
      <c r="I8" s="15" t="s">
        <v>54</v>
      </c>
      <c r="J8" s="6"/>
      <c r="K8" s="2" t="s">
        <v>5</v>
      </c>
      <c r="L8" s="3">
        <v>30</v>
      </c>
      <c r="M8" s="1">
        <f t="shared" si="1"/>
        <v>5.8823529411764701</v>
      </c>
      <c r="N8" s="4" t="s">
        <v>5</v>
      </c>
      <c r="O8" s="5">
        <v>30</v>
      </c>
      <c r="P8" s="1">
        <f>O8/SUM($O$8:$O$11)*100</f>
        <v>48.387096774193552</v>
      </c>
    </row>
    <row r="9" spans="1:16" ht="18" thickBot="1" x14ac:dyDescent="0.3">
      <c r="A9" s="9" t="s">
        <v>1</v>
      </c>
      <c r="B9" s="10" t="s">
        <v>18</v>
      </c>
      <c r="C9" s="11">
        <v>0</v>
      </c>
      <c r="D9" s="12">
        <v>0.2</v>
      </c>
      <c r="E9" s="11">
        <v>0</v>
      </c>
      <c r="F9" s="11">
        <v>0</v>
      </c>
      <c r="G9" s="16" t="s">
        <v>5</v>
      </c>
      <c r="H9" s="17">
        <v>20</v>
      </c>
      <c r="I9" s="15" t="s">
        <v>54</v>
      </c>
      <c r="J9" s="6"/>
      <c r="K9" s="2" t="s">
        <v>5</v>
      </c>
      <c r="L9" s="3">
        <v>20</v>
      </c>
      <c r="M9" s="1">
        <f t="shared" si="1"/>
        <v>3.9215686274509802</v>
      </c>
      <c r="N9" s="4" t="s">
        <v>5</v>
      </c>
      <c r="O9" s="5">
        <v>20</v>
      </c>
      <c r="P9" s="1">
        <f t="shared" ref="P9:P11" si="2">O9/SUM($O$8:$O$11)*100</f>
        <v>32.258064516129032</v>
      </c>
    </row>
    <row r="10" spans="1:16" ht="18" thickBot="1" x14ac:dyDescent="0.3">
      <c r="A10" s="9" t="s">
        <v>1</v>
      </c>
      <c r="B10" s="10" t="s">
        <v>19</v>
      </c>
      <c r="C10" s="11">
        <v>0</v>
      </c>
      <c r="D10" s="12">
        <v>0.25</v>
      </c>
      <c r="E10" s="11">
        <v>0</v>
      </c>
      <c r="F10" s="11">
        <v>0</v>
      </c>
      <c r="G10" s="16" t="s">
        <v>5</v>
      </c>
      <c r="H10" s="17">
        <v>10</v>
      </c>
      <c r="I10" s="15" t="s">
        <v>54</v>
      </c>
      <c r="J10" s="6"/>
      <c r="K10" s="2" t="s">
        <v>5</v>
      </c>
      <c r="L10" s="3">
        <v>10</v>
      </c>
      <c r="M10" s="1">
        <f t="shared" si="1"/>
        <v>1.9607843137254901</v>
      </c>
      <c r="N10" s="4" t="s">
        <v>5</v>
      </c>
      <c r="O10" s="5">
        <v>10</v>
      </c>
      <c r="P10" s="1">
        <f t="shared" si="2"/>
        <v>16.129032258064516</v>
      </c>
    </row>
    <row r="11" spans="1:16" ht="18" thickBot="1" x14ac:dyDescent="0.3">
      <c r="A11" s="9" t="s">
        <v>1</v>
      </c>
      <c r="B11" s="10" t="s">
        <v>20</v>
      </c>
      <c r="C11" s="12">
        <v>0.1</v>
      </c>
      <c r="D11" s="12">
        <v>0.5</v>
      </c>
      <c r="E11" s="11">
        <v>0</v>
      </c>
      <c r="F11" s="11">
        <v>0</v>
      </c>
      <c r="G11" s="10" t="s">
        <v>6</v>
      </c>
      <c r="H11" s="12">
        <v>2</v>
      </c>
      <c r="I11" s="15" t="s">
        <v>55</v>
      </c>
      <c r="J11" s="6"/>
      <c r="K11" s="1"/>
      <c r="L11" s="1"/>
      <c r="M11" s="1"/>
      <c r="N11" s="4" t="s">
        <v>6</v>
      </c>
      <c r="O11" s="5">
        <v>2</v>
      </c>
      <c r="P11" s="1">
        <f t="shared" si="2"/>
        <v>3.225806451612903</v>
      </c>
    </row>
    <row r="12" spans="1:16" ht="18" thickBot="1" x14ac:dyDescent="0.3">
      <c r="A12" s="9" t="s">
        <v>56</v>
      </c>
      <c r="B12" s="10" t="s">
        <v>57</v>
      </c>
      <c r="C12" s="12">
        <v>5.0000000000000001E-3</v>
      </c>
      <c r="D12" s="11">
        <v>0</v>
      </c>
      <c r="E12" s="11">
        <v>0</v>
      </c>
      <c r="F12" s="11">
        <v>0</v>
      </c>
      <c r="G12" s="10" t="s">
        <v>0</v>
      </c>
      <c r="H12" s="12">
        <v>1000</v>
      </c>
      <c r="I12" s="15" t="s">
        <v>58</v>
      </c>
    </row>
    <row r="13" spans="1:16" ht="18" thickBot="1" x14ac:dyDescent="0.3">
      <c r="A13" s="9" t="s">
        <v>56</v>
      </c>
      <c r="B13" s="10" t="s">
        <v>59</v>
      </c>
      <c r="C13" s="12">
        <v>0.01</v>
      </c>
      <c r="D13" s="11">
        <v>0</v>
      </c>
      <c r="E13" s="11">
        <v>0</v>
      </c>
      <c r="F13" s="11">
        <v>0</v>
      </c>
      <c r="G13" s="10" t="s">
        <v>0</v>
      </c>
      <c r="H13" s="12">
        <v>900</v>
      </c>
      <c r="I13" s="15" t="s">
        <v>58</v>
      </c>
    </row>
    <row r="14" spans="1:16" ht="18" thickBot="1" x14ac:dyDescent="0.3">
      <c r="A14" s="9" t="s">
        <v>56</v>
      </c>
      <c r="B14" s="10" t="s">
        <v>60</v>
      </c>
      <c r="C14" s="12">
        <v>1.4999999999999999E-2</v>
      </c>
      <c r="D14" s="11">
        <v>0</v>
      </c>
      <c r="E14" s="11">
        <v>0</v>
      </c>
      <c r="F14" s="11">
        <v>0</v>
      </c>
      <c r="G14" s="10" t="s">
        <v>0</v>
      </c>
      <c r="H14" s="12">
        <v>800</v>
      </c>
      <c r="I14" s="15" t="s">
        <v>58</v>
      </c>
    </row>
    <row r="15" spans="1:16" ht="18" thickBot="1" x14ac:dyDescent="0.3">
      <c r="A15" s="9" t="s">
        <v>56</v>
      </c>
      <c r="B15" s="10" t="s">
        <v>61</v>
      </c>
      <c r="C15" s="12">
        <v>0.02</v>
      </c>
      <c r="D15" s="11">
        <v>0</v>
      </c>
      <c r="E15" s="11">
        <v>0</v>
      </c>
      <c r="F15" s="11">
        <v>0</v>
      </c>
      <c r="G15" s="10" t="s">
        <v>4</v>
      </c>
      <c r="H15" s="12">
        <v>200</v>
      </c>
      <c r="I15" s="15" t="s">
        <v>58</v>
      </c>
    </row>
    <row r="16" spans="1:16" ht="18" thickBot="1" x14ac:dyDescent="0.3">
      <c r="A16" s="9" t="s">
        <v>56</v>
      </c>
      <c r="B16" s="10" t="s">
        <v>62</v>
      </c>
      <c r="C16" s="12">
        <v>2.5000000000000001E-2</v>
      </c>
      <c r="D16" s="11">
        <v>0</v>
      </c>
      <c r="E16" s="11">
        <v>0</v>
      </c>
      <c r="F16" s="11">
        <v>0</v>
      </c>
      <c r="G16" s="10" t="s">
        <v>4</v>
      </c>
      <c r="H16" s="12">
        <v>150</v>
      </c>
      <c r="I16" s="15" t="s">
        <v>58</v>
      </c>
    </row>
    <row r="17" spans="1:9" ht="18" thickBot="1" x14ac:dyDescent="0.3">
      <c r="A17" s="9" t="s">
        <v>56</v>
      </c>
      <c r="B17" s="10" t="s">
        <v>63</v>
      </c>
      <c r="C17" s="12">
        <v>0.03</v>
      </c>
      <c r="D17" s="11">
        <v>0</v>
      </c>
      <c r="E17" s="11">
        <v>0</v>
      </c>
      <c r="F17" s="11">
        <v>0</v>
      </c>
      <c r="G17" s="10" t="s">
        <v>4</v>
      </c>
      <c r="H17" s="12">
        <v>100</v>
      </c>
      <c r="I17" s="15" t="s">
        <v>58</v>
      </c>
    </row>
    <row r="18" spans="1:9" ht="18" thickBot="1" x14ac:dyDescent="0.3">
      <c r="A18" s="9" t="s">
        <v>56</v>
      </c>
      <c r="B18" s="10" t="s">
        <v>64</v>
      </c>
      <c r="C18" s="12">
        <v>0.05</v>
      </c>
      <c r="D18" s="11">
        <v>0</v>
      </c>
      <c r="E18" s="12">
        <v>0.05</v>
      </c>
      <c r="F18" s="11">
        <v>0</v>
      </c>
      <c r="G18" s="10" t="s">
        <v>5</v>
      </c>
      <c r="H18" s="12">
        <v>30</v>
      </c>
      <c r="I18" s="15" t="s">
        <v>65</v>
      </c>
    </row>
    <row r="19" spans="1:9" ht="18" thickBot="1" x14ac:dyDescent="0.3">
      <c r="A19" s="9" t="s">
        <v>56</v>
      </c>
      <c r="B19" s="10" t="s">
        <v>66</v>
      </c>
      <c r="C19" s="12">
        <v>0.1</v>
      </c>
      <c r="D19" s="11">
        <v>0</v>
      </c>
      <c r="E19" s="12">
        <v>0.1</v>
      </c>
      <c r="F19" s="11">
        <v>0</v>
      </c>
      <c r="G19" s="10" t="s">
        <v>5</v>
      </c>
      <c r="H19" s="12">
        <v>20</v>
      </c>
      <c r="I19" s="15" t="s">
        <v>65</v>
      </c>
    </row>
    <row r="20" spans="1:9" ht="18" thickBot="1" x14ac:dyDescent="0.3">
      <c r="A20" s="9" t="s">
        <v>56</v>
      </c>
      <c r="B20" s="10" t="s">
        <v>67</v>
      </c>
      <c r="C20" s="12">
        <v>0.125</v>
      </c>
      <c r="D20" s="11">
        <v>0</v>
      </c>
      <c r="E20" s="12">
        <v>0.125</v>
      </c>
      <c r="F20" s="11">
        <v>0</v>
      </c>
      <c r="G20" s="10" t="s">
        <v>5</v>
      </c>
      <c r="H20" s="12">
        <v>10</v>
      </c>
      <c r="I20" s="15" t="s">
        <v>65</v>
      </c>
    </row>
    <row r="21" spans="1:9" ht="18" thickBot="1" x14ac:dyDescent="0.3">
      <c r="A21" s="9" t="s">
        <v>56</v>
      </c>
      <c r="B21" s="10" t="s">
        <v>68</v>
      </c>
      <c r="C21" s="12">
        <v>0.25</v>
      </c>
      <c r="D21" s="11">
        <v>0</v>
      </c>
      <c r="E21" s="12">
        <v>0.25</v>
      </c>
      <c r="F21" s="11">
        <v>0</v>
      </c>
      <c r="G21" s="10" t="s">
        <v>6</v>
      </c>
      <c r="H21" s="12">
        <v>2</v>
      </c>
      <c r="I21" s="15" t="s">
        <v>65</v>
      </c>
    </row>
    <row r="22" spans="1:9" ht="18" thickBot="1" x14ac:dyDescent="0.3">
      <c r="A22" s="9" t="s">
        <v>2</v>
      </c>
      <c r="B22" s="10" t="s">
        <v>69</v>
      </c>
      <c r="C22" s="11">
        <v>0</v>
      </c>
      <c r="D22" s="11">
        <v>0</v>
      </c>
      <c r="E22" s="11">
        <v>0</v>
      </c>
      <c r="F22" s="12">
        <v>0.01</v>
      </c>
      <c r="G22" s="10" t="s">
        <v>0</v>
      </c>
      <c r="H22" s="12">
        <v>1000</v>
      </c>
      <c r="I22" s="15" t="s">
        <v>70</v>
      </c>
    </row>
    <row r="23" spans="1:9" ht="18" thickBot="1" x14ac:dyDescent="0.3">
      <c r="A23" s="9" t="s">
        <v>2</v>
      </c>
      <c r="B23" s="10" t="s">
        <v>21</v>
      </c>
      <c r="C23" s="11">
        <v>0</v>
      </c>
      <c r="D23" s="11">
        <v>0</v>
      </c>
      <c r="E23" s="11">
        <v>0</v>
      </c>
      <c r="F23" s="12">
        <v>0.02</v>
      </c>
      <c r="G23" s="10" t="s">
        <v>0</v>
      </c>
      <c r="H23" s="12">
        <v>900</v>
      </c>
      <c r="I23" s="15" t="s">
        <v>70</v>
      </c>
    </row>
    <row r="24" spans="1:9" ht="18" thickBot="1" x14ac:dyDescent="0.3">
      <c r="A24" s="9" t="s">
        <v>2</v>
      </c>
      <c r="B24" s="10" t="s">
        <v>22</v>
      </c>
      <c r="C24" s="11">
        <v>0</v>
      </c>
      <c r="D24" s="11">
        <v>0</v>
      </c>
      <c r="E24" s="11">
        <v>0</v>
      </c>
      <c r="F24" s="12">
        <v>0.03</v>
      </c>
      <c r="G24" s="10" t="s">
        <v>0</v>
      </c>
      <c r="H24" s="12">
        <v>800</v>
      </c>
      <c r="I24" s="15" t="s">
        <v>70</v>
      </c>
    </row>
    <row r="25" spans="1:9" ht="18" thickBot="1" x14ac:dyDescent="0.3">
      <c r="A25" s="9" t="s">
        <v>2</v>
      </c>
      <c r="B25" s="10" t="s">
        <v>23</v>
      </c>
      <c r="C25" s="11">
        <v>0</v>
      </c>
      <c r="D25" s="11">
        <v>0</v>
      </c>
      <c r="E25" s="11">
        <v>0</v>
      </c>
      <c r="F25" s="12">
        <v>0.04</v>
      </c>
      <c r="G25" s="10" t="s">
        <v>4</v>
      </c>
      <c r="H25" s="12">
        <v>200</v>
      </c>
      <c r="I25" s="15" t="s">
        <v>70</v>
      </c>
    </row>
    <row r="26" spans="1:9" ht="18" thickBot="1" x14ac:dyDescent="0.3">
      <c r="A26" s="9" t="s">
        <v>2</v>
      </c>
      <c r="B26" s="10" t="s">
        <v>24</v>
      </c>
      <c r="C26" s="11">
        <v>0</v>
      </c>
      <c r="D26" s="11">
        <v>0</v>
      </c>
      <c r="E26" s="11">
        <v>0</v>
      </c>
      <c r="F26" s="12">
        <v>0.05</v>
      </c>
      <c r="G26" s="10" t="s">
        <v>4</v>
      </c>
      <c r="H26" s="12">
        <v>150</v>
      </c>
      <c r="I26" s="15" t="s">
        <v>70</v>
      </c>
    </row>
    <row r="27" spans="1:9" ht="18" thickBot="1" x14ac:dyDescent="0.3">
      <c r="A27" s="9" t="s">
        <v>2</v>
      </c>
      <c r="B27" s="10" t="s">
        <v>25</v>
      </c>
      <c r="C27" s="11">
        <v>0</v>
      </c>
      <c r="D27" s="11">
        <v>0</v>
      </c>
      <c r="E27" s="11">
        <v>0</v>
      </c>
      <c r="F27" s="12">
        <v>0.06</v>
      </c>
      <c r="G27" s="10" t="s">
        <v>4</v>
      </c>
      <c r="H27" s="12">
        <v>100</v>
      </c>
      <c r="I27" s="15" t="s">
        <v>70</v>
      </c>
    </row>
    <row r="28" spans="1:9" ht="18" thickBot="1" x14ac:dyDescent="0.3">
      <c r="A28" s="9" t="s">
        <v>2</v>
      </c>
      <c r="B28" s="10" t="s">
        <v>26</v>
      </c>
      <c r="C28" s="11">
        <v>0</v>
      </c>
      <c r="D28" s="11">
        <v>0</v>
      </c>
      <c r="E28" s="11">
        <v>0</v>
      </c>
      <c r="F28" s="12">
        <v>0.1</v>
      </c>
      <c r="G28" s="10" t="s">
        <v>5</v>
      </c>
      <c r="H28" s="12">
        <v>30</v>
      </c>
      <c r="I28" s="15" t="s">
        <v>70</v>
      </c>
    </row>
    <row r="29" spans="1:9" ht="18" thickBot="1" x14ac:dyDescent="0.3">
      <c r="A29" s="9" t="s">
        <v>2</v>
      </c>
      <c r="B29" s="10" t="s">
        <v>27</v>
      </c>
      <c r="C29" s="11">
        <v>0</v>
      </c>
      <c r="D29" s="11">
        <v>0</v>
      </c>
      <c r="E29" s="11">
        <v>0</v>
      </c>
      <c r="F29" s="12">
        <v>0.2</v>
      </c>
      <c r="G29" s="10" t="s">
        <v>5</v>
      </c>
      <c r="H29" s="12">
        <v>20</v>
      </c>
      <c r="I29" s="15" t="s">
        <v>70</v>
      </c>
    </row>
    <row r="30" spans="1:9" ht="18" thickBot="1" x14ac:dyDescent="0.3">
      <c r="A30" s="9" t="s">
        <v>2</v>
      </c>
      <c r="B30" s="10" t="s">
        <v>28</v>
      </c>
      <c r="C30" s="11">
        <v>0</v>
      </c>
      <c r="D30" s="11">
        <v>0</v>
      </c>
      <c r="E30" s="11">
        <v>0</v>
      </c>
      <c r="F30" s="12">
        <v>0.25</v>
      </c>
      <c r="G30" s="10" t="s">
        <v>5</v>
      </c>
      <c r="H30" s="12">
        <v>10</v>
      </c>
      <c r="I30" s="15" t="s">
        <v>70</v>
      </c>
    </row>
    <row r="31" spans="1:9" ht="18" thickBot="1" x14ac:dyDescent="0.3">
      <c r="A31" s="9" t="s">
        <v>2</v>
      </c>
      <c r="B31" s="10" t="s">
        <v>29</v>
      </c>
      <c r="C31" s="12">
        <v>0.1</v>
      </c>
      <c r="D31" s="11">
        <v>0</v>
      </c>
      <c r="E31" s="11">
        <v>0</v>
      </c>
      <c r="F31" s="12">
        <v>0.5</v>
      </c>
      <c r="G31" s="10" t="s">
        <v>6</v>
      </c>
      <c r="H31" s="12">
        <v>2</v>
      </c>
      <c r="I31" s="15" t="s">
        <v>71</v>
      </c>
    </row>
    <row r="32" spans="1:9" ht="18" thickBot="1" x14ac:dyDescent="0.3">
      <c r="A32" s="9" t="s">
        <v>72</v>
      </c>
      <c r="B32" s="10" t="s">
        <v>73</v>
      </c>
      <c r="C32" s="12">
        <v>5.0000000000000001E-3</v>
      </c>
      <c r="D32" s="12">
        <v>5.0000000000000001E-3</v>
      </c>
      <c r="E32" s="11">
        <v>0</v>
      </c>
      <c r="F32" s="11">
        <v>0</v>
      </c>
      <c r="G32" s="10" t="s">
        <v>0</v>
      </c>
      <c r="H32" s="12">
        <v>1000</v>
      </c>
      <c r="I32" s="15" t="s">
        <v>55</v>
      </c>
    </row>
    <row r="33" spans="1:9" ht="18" thickBot="1" x14ac:dyDescent="0.3">
      <c r="A33" s="9" t="s">
        <v>72</v>
      </c>
      <c r="B33" s="10" t="s">
        <v>74</v>
      </c>
      <c r="C33" s="12">
        <v>0.01</v>
      </c>
      <c r="D33" s="12">
        <v>0.01</v>
      </c>
      <c r="E33" s="11">
        <v>0</v>
      </c>
      <c r="F33" s="11">
        <v>0</v>
      </c>
      <c r="G33" s="10" t="s">
        <v>0</v>
      </c>
      <c r="H33" s="12">
        <v>900</v>
      </c>
      <c r="I33" s="15" t="s">
        <v>55</v>
      </c>
    </row>
    <row r="34" spans="1:9" ht="18" thickBot="1" x14ac:dyDescent="0.3">
      <c r="A34" s="9" t="s">
        <v>72</v>
      </c>
      <c r="B34" s="10" t="s">
        <v>75</v>
      </c>
      <c r="C34" s="12">
        <v>1.4999999999999999E-2</v>
      </c>
      <c r="D34" s="12">
        <v>1.4999999999999999E-2</v>
      </c>
      <c r="E34" s="11">
        <v>0</v>
      </c>
      <c r="F34" s="11">
        <v>0</v>
      </c>
      <c r="G34" s="10" t="s">
        <v>0</v>
      </c>
      <c r="H34" s="12">
        <v>800</v>
      </c>
      <c r="I34" s="15" t="s">
        <v>55</v>
      </c>
    </row>
    <row r="35" spans="1:9" ht="18" thickBot="1" x14ac:dyDescent="0.3">
      <c r="A35" s="9" t="s">
        <v>72</v>
      </c>
      <c r="B35" s="10" t="s">
        <v>76</v>
      </c>
      <c r="C35" s="12">
        <v>0.02</v>
      </c>
      <c r="D35" s="12">
        <v>0.02</v>
      </c>
      <c r="E35" s="11">
        <v>0</v>
      </c>
      <c r="F35" s="11">
        <v>0</v>
      </c>
      <c r="G35" s="10" t="s">
        <v>4</v>
      </c>
      <c r="H35" s="12">
        <v>200</v>
      </c>
      <c r="I35" s="15" t="s">
        <v>55</v>
      </c>
    </row>
    <row r="36" spans="1:9" ht="18" thickBot="1" x14ac:dyDescent="0.3">
      <c r="A36" s="9" t="s">
        <v>72</v>
      </c>
      <c r="B36" s="10" t="s">
        <v>77</v>
      </c>
      <c r="C36" s="12">
        <v>2.5000000000000001E-2</v>
      </c>
      <c r="D36" s="12">
        <v>2.5000000000000001E-2</v>
      </c>
      <c r="E36" s="11">
        <v>0</v>
      </c>
      <c r="F36" s="11">
        <v>0</v>
      </c>
      <c r="G36" s="10" t="s">
        <v>4</v>
      </c>
      <c r="H36" s="12">
        <v>150</v>
      </c>
      <c r="I36" s="15" t="s">
        <v>55</v>
      </c>
    </row>
    <row r="37" spans="1:9" ht="18" thickBot="1" x14ac:dyDescent="0.3">
      <c r="A37" s="9" t="s">
        <v>72</v>
      </c>
      <c r="B37" s="10" t="s">
        <v>78</v>
      </c>
      <c r="C37" s="12">
        <v>0.03</v>
      </c>
      <c r="D37" s="12">
        <v>0.03</v>
      </c>
      <c r="E37" s="11">
        <v>0</v>
      </c>
      <c r="F37" s="11">
        <v>0</v>
      </c>
      <c r="G37" s="10" t="s">
        <v>4</v>
      </c>
      <c r="H37" s="12">
        <v>100</v>
      </c>
      <c r="I37" s="15" t="s">
        <v>55</v>
      </c>
    </row>
    <row r="38" spans="1:9" ht="18" thickBot="1" x14ac:dyDescent="0.3">
      <c r="A38" s="9" t="s">
        <v>72</v>
      </c>
      <c r="B38" s="10" t="s">
        <v>79</v>
      </c>
      <c r="C38" s="12">
        <v>0.05</v>
      </c>
      <c r="D38" s="12">
        <v>0.05</v>
      </c>
      <c r="E38" s="11">
        <v>0</v>
      </c>
      <c r="F38" s="11">
        <v>0</v>
      </c>
      <c r="G38" s="10" t="s">
        <v>5</v>
      </c>
      <c r="H38" s="12">
        <v>30</v>
      </c>
      <c r="I38" s="15" t="s">
        <v>55</v>
      </c>
    </row>
    <row r="39" spans="1:9" ht="18" thickBot="1" x14ac:dyDescent="0.3">
      <c r="A39" s="9" t="s">
        <v>72</v>
      </c>
      <c r="B39" s="10" t="s">
        <v>80</v>
      </c>
      <c r="C39" s="12">
        <v>0.1</v>
      </c>
      <c r="D39" s="12">
        <v>0.1</v>
      </c>
      <c r="E39" s="11">
        <v>0</v>
      </c>
      <c r="F39" s="11">
        <v>0</v>
      </c>
      <c r="G39" s="10" t="s">
        <v>5</v>
      </c>
      <c r="H39" s="12">
        <v>20</v>
      </c>
      <c r="I39" s="15" t="s">
        <v>55</v>
      </c>
    </row>
    <row r="40" spans="1:9" ht="18" thickBot="1" x14ac:dyDescent="0.3">
      <c r="A40" s="9" t="s">
        <v>72</v>
      </c>
      <c r="B40" s="10" t="s">
        <v>81</v>
      </c>
      <c r="C40" s="12">
        <v>0.125</v>
      </c>
      <c r="D40" s="12">
        <v>0.125</v>
      </c>
      <c r="E40" s="11">
        <v>0</v>
      </c>
      <c r="F40" s="11">
        <v>0</v>
      </c>
      <c r="G40" s="10" t="s">
        <v>5</v>
      </c>
      <c r="H40" s="12">
        <v>10</v>
      </c>
      <c r="I40" s="15" t="s">
        <v>55</v>
      </c>
    </row>
    <row r="41" spans="1:9" ht="18" thickBot="1" x14ac:dyDescent="0.3">
      <c r="A41" s="9" t="s">
        <v>72</v>
      </c>
      <c r="B41" s="10" t="s">
        <v>82</v>
      </c>
      <c r="C41" s="12">
        <v>0.25</v>
      </c>
      <c r="D41" s="12">
        <v>0.25</v>
      </c>
      <c r="E41" s="11">
        <v>0</v>
      </c>
      <c r="F41" s="11">
        <v>0</v>
      </c>
      <c r="G41" s="10" t="s">
        <v>6</v>
      </c>
      <c r="H41" s="12">
        <v>2</v>
      </c>
      <c r="I41" s="15" t="s">
        <v>55</v>
      </c>
    </row>
    <row r="42" spans="1:9" ht="18" thickBot="1" x14ac:dyDescent="0.3">
      <c r="A42" s="9" t="s">
        <v>3</v>
      </c>
      <c r="B42" s="10" t="s">
        <v>83</v>
      </c>
      <c r="C42" s="11">
        <v>0</v>
      </c>
      <c r="D42" s="12">
        <v>0.01</v>
      </c>
      <c r="E42" s="11">
        <v>0</v>
      </c>
      <c r="F42" s="11">
        <v>0</v>
      </c>
      <c r="G42" s="10" t="s">
        <v>0</v>
      </c>
      <c r="H42" s="12">
        <v>1000</v>
      </c>
      <c r="I42" s="15" t="s">
        <v>84</v>
      </c>
    </row>
    <row r="43" spans="1:9" ht="18" thickBot="1" x14ac:dyDescent="0.3">
      <c r="A43" s="9" t="s">
        <v>3</v>
      </c>
      <c r="B43" s="10" t="s">
        <v>30</v>
      </c>
      <c r="C43" s="11">
        <v>0</v>
      </c>
      <c r="D43" s="12">
        <v>0.02</v>
      </c>
      <c r="E43" s="11">
        <v>0</v>
      </c>
      <c r="F43" s="11">
        <v>0</v>
      </c>
      <c r="G43" s="10" t="s">
        <v>0</v>
      </c>
      <c r="H43" s="12">
        <v>900</v>
      </c>
      <c r="I43" s="15" t="s">
        <v>84</v>
      </c>
    </row>
    <row r="44" spans="1:9" ht="18" thickBot="1" x14ac:dyDescent="0.3">
      <c r="A44" s="9" t="s">
        <v>3</v>
      </c>
      <c r="B44" s="10" t="s">
        <v>31</v>
      </c>
      <c r="C44" s="11">
        <v>0</v>
      </c>
      <c r="D44" s="12">
        <v>0.03</v>
      </c>
      <c r="E44" s="11">
        <v>0</v>
      </c>
      <c r="F44" s="11">
        <v>0</v>
      </c>
      <c r="G44" s="10" t="s">
        <v>0</v>
      </c>
      <c r="H44" s="12">
        <v>800</v>
      </c>
      <c r="I44" s="15" t="s">
        <v>84</v>
      </c>
    </row>
    <row r="45" spans="1:9" ht="18" thickBot="1" x14ac:dyDescent="0.3">
      <c r="A45" s="9" t="s">
        <v>3</v>
      </c>
      <c r="B45" s="10" t="s">
        <v>32</v>
      </c>
      <c r="C45" s="11">
        <v>0</v>
      </c>
      <c r="D45" s="12">
        <v>0.04</v>
      </c>
      <c r="E45" s="11">
        <v>0</v>
      </c>
      <c r="F45" s="11">
        <v>0</v>
      </c>
      <c r="G45" s="10" t="s">
        <v>4</v>
      </c>
      <c r="H45" s="12">
        <v>200</v>
      </c>
      <c r="I45" s="15" t="s">
        <v>84</v>
      </c>
    </row>
    <row r="46" spans="1:9" ht="18" thickBot="1" x14ac:dyDescent="0.3">
      <c r="A46" s="9" t="s">
        <v>3</v>
      </c>
      <c r="B46" s="10" t="s">
        <v>33</v>
      </c>
      <c r="C46" s="11">
        <v>0</v>
      </c>
      <c r="D46" s="12">
        <v>0.05</v>
      </c>
      <c r="E46" s="11">
        <v>0</v>
      </c>
      <c r="F46" s="11">
        <v>0</v>
      </c>
      <c r="G46" s="10" t="s">
        <v>4</v>
      </c>
      <c r="H46" s="12">
        <v>150</v>
      </c>
      <c r="I46" s="15" t="s">
        <v>84</v>
      </c>
    </row>
    <row r="47" spans="1:9" ht="18" thickBot="1" x14ac:dyDescent="0.3">
      <c r="A47" s="9" t="s">
        <v>3</v>
      </c>
      <c r="B47" s="10" t="s">
        <v>34</v>
      </c>
      <c r="C47" s="11">
        <v>0</v>
      </c>
      <c r="D47" s="12">
        <v>0.06</v>
      </c>
      <c r="E47" s="11">
        <v>0</v>
      </c>
      <c r="F47" s="11">
        <v>0</v>
      </c>
      <c r="G47" s="10" t="s">
        <v>4</v>
      </c>
      <c r="H47" s="12">
        <v>100</v>
      </c>
      <c r="I47" s="15" t="s">
        <v>84</v>
      </c>
    </row>
    <row r="48" spans="1:9" ht="18" thickBot="1" x14ac:dyDescent="0.3">
      <c r="A48" s="9" t="s">
        <v>3</v>
      </c>
      <c r="B48" s="10" t="s">
        <v>35</v>
      </c>
      <c r="C48" s="11">
        <v>0</v>
      </c>
      <c r="D48" s="12">
        <v>0.1</v>
      </c>
      <c r="E48" s="11">
        <v>0</v>
      </c>
      <c r="F48" s="11">
        <v>0</v>
      </c>
      <c r="G48" s="10" t="s">
        <v>5</v>
      </c>
      <c r="H48" s="12">
        <v>30</v>
      </c>
      <c r="I48" s="15" t="s">
        <v>84</v>
      </c>
    </row>
    <row r="49" spans="1:9" ht="18" thickBot="1" x14ac:dyDescent="0.3">
      <c r="A49" s="9" t="s">
        <v>3</v>
      </c>
      <c r="B49" s="10" t="s">
        <v>36</v>
      </c>
      <c r="C49" s="11">
        <v>0</v>
      </c>
      <c r="D49" s="12">
        <v>0.2</v>
      </c>
      <c r="E49" s="11">
        <v>0</v>
      </c>
      <c r="F49" s="11">
        <v>0</v>
      </c>
      <c r="G49" s="10" t="s">
        <v>5</v>
      </c>
      <c r="H49" s="12">
        <v>20</v>
      </c>
      <c r="I49" s="15" t="s">
        <v>84</v>
      </c>
    </row>
    <row r="50" spans="1:9" ht="18" thickBot="1" x14ac:dyDescent="0.3">
      <c r="A50" s="9" t="s">
        <v>3</v>
      </c>
      <c r="B50" s="10" t="s">
        <v>37</v>
      </c>
      <c r="C50" s="11">
        <v>0</v>
      </c>
      <c r="D50" s="12">
        <v>0.25</v>
      </c>
      <c r="E50" s="11">
        <v>0</v>
      </c>
      <c r="F50" s="11">
        <v>0</v>
      </c>
      <c r="G50" s="10" t="s">
        <v>5</v>
      </c>
      <c r="H50" s="12">
        <v>10</v>
      </c>
      <c r="I50" s="15" t="s">
        <v>84</v>
      </c>
    </row>
    <row r="51" spans="1:9" ht="18" thickBot="1" x14ac:dyDescent="0.3">
      <c r="A51" s="9" t="s">
        <v>3</v>
      </c>
      <c r="B51" s="10" t="s">
        <v>38</v>
      </c>
      <c r="C51" s="11">
        <v>0</v>
      </c>
      <c r="D51" s="12">
        <v>0.5</v>
      </c>
      <c r="E51" s="11">
        <v>0</v>
      </c>
      <c r="F51" s="12">
        <v>0.1</v>
      </c>
      <c r="G51" s="10" t="s">
        <v>6</v>
      </c>
      <c r="H51" s="12">
        <v>2</v>
      </c>
      <c r="I51" s="15" t="s">
        <v>85</v>
      </c>
    </row>
    <row r="52" spans="1:9" ht="18" thickBot="1" x14ac:dyDescent="0.3">
      <c r="A52" s="9" t="s">
        <v>11</v>
      </c>
      <c r="B52" s="10" t="s">
        <v>86</v>
      </c>
      <c r="C52" s="12">
        <v>0.01</v>
      </c>
      <c r="D52" s="11">
        <v>0</v>
      </c>
      <c r="E52" s="11">
        <v>0</v>
      </c>
      <c r="F52" s="11">
        <v>0</v>
      </c>
      <c r="G52" s="10" t="s">
        <v>0</v>
      </c>
      <c r="H52" s="12">
        <v>1000</v>
      </c>
      <c r="I52" s="15" t="s">
        <v>58</v>
      </c>
    </row>
    <row r="53" spans="1:9" ht="18" thickBot="1" x14ac:dyDescent="0.3">
      <c r="A53" s="9" t="s">
        <v>11</v>
      </c>
      <c r="B53" s="10" t="s">
        <v>39</v>
      </c>
      <c r="C53" s="12">
        <v>0.02</v>
      </c>
      <c r="D53" s="11">
        <v>0</v>
      </c>
      <c r="E53" s="11">
        <v>0</v>
      </c>
      <c r="F53" s="11">
        <v>0</v>
      </c>
      <c r="G53" s="10" t="s">
        <v>0</v>
      </c>
      <c r="H53" s="12">
        <v>900</v>
      </c>
      <c r="I53" s="15" t="s">
        <v>58</v>
      </c>
    </row>
    <row r="54" spans="1:9" ht="18" thickBot="1" x14ac:dyDescent="0.3">
      <c r="A54" s="9" t="s">
        <v>11</v>
      </c>
      <c r="B54" s="10" t="s">
        <v>40</v>
      </c>
      <c r="C54" s="12">
        <v>0.03</v>
      </c>
      <c r="D54" s="11">
        <v>0</v>
      </c>
      <c r="E54" s="11">
        <v>0</v>
      </c>
      <c r="F54" s="11">
        <v>0</v>
      </c>
      <c r="G54" s="10" t="s">
        <v>0</v>
      </c>
      <c r="H54" s="12">
        <v>800</v>
      </c>
      <c r="I54" s="15" t="s">
        <v>58</v>
      </c>
    </row>
    <row r="55" spans="1:9" ht="18" thickBot="1" x14ac:dyDescent="0.3">
      <c r="A55" s="9" t="s">
        <v>11</v>
      </c>
      <c r="B55" s="10" t="s">
        <v>41</v>
      </c>
      <c r="C55" s="12">
        <v>0.04</v>
      </c>
      <c r="D55" s="11">
        <v>0</v>
      </c>
      <c r="E55" s="11">
        <v>0</v>
      </c>
      <c r="F55" s="11">
        <v>0</v>
      </c>
      <c r="G55" s="10" t="s">
        <v>4</v>
      </c>
      <c r="H55" s="12">
        <v>200</v>
      </c>
      <c r="I55" s="15" t="s">
        <v>58</v>
      </c>
    </row>
    <row r="56" spans="1:9" ht="18" thickBot="1" x14ac:dyDescent="0.3">
      <c r="A56" s="9" t="s">
        <v>11</v>
      </c>
      <c r="B56" s="10" t="s">
        <v>42</v>
      </c>
      <c r="C56" s="12">
        <v>0.05</v>
      </c>
      <c r="D56" s="11">
        <v>0</v>
      </c>
      <c r="E56" s="11">
        <v>0</v>
      </c>
      <c r="F56" s="11">
        <v>0</v>
      </c>
      <c r="G56" s="10" t="s">
        <v>4</v>
      </c>
      <c r="H56" s="12">
        <v>150</v>
      </c>
      <c r="I56" s="15" t="s">
        <v>58</v>
      </c>
    </row>
    <row r="57" spans="1:9" ht="18" thickBot="1" x14ac:dyDescent="0.3">
      <c r="A57" s="9" t="s">
        <v>11</v>
      </c>
      <c r="B57" s="10" t="s">
        <v>43</v>
      </c>
      <c r="C57" s="12">
        <v>0.06</v>
      </c>
      <c r="D57" s="11">
        <v>0</v>
      </c>
      <c r="E57" s="11">
        <v>0</v>
      </c>
      <c r="F57" s="11">
        <v>0</v>
      </c>
      <c r="G57" s="10" t="s">
        <v>4</v>
      </c>
      <c r="H57" s="12">
        <v>100</v>
      </c>
      <c r="I57" s="15" t="s">
        <v>58</v>
      </c>
    </row>
    <row r="58" spans="1:9" ht="18" thickBot="1" x14ac:dyDescent="0.3">
      <c r="A58" s="9" t="s">
        <v>11</v>
      </c>
      <c r="B58" s="10" t="s">
        <v>44</v>
      </c>
      <c r="C58" s="12">
        <v>0.1</v>
      </c>
      <c r="D58" s="11">
        <v>0</v>
      </c>
      <c r="E58" s="11">
        <v>0</v>
      </c>
      <c r="F58" s="11">
        <v>0</v>
      </c>
      <c r="G58" s="10" t="s">
        <v>5</v>
      </c>
      <c r="H58" s="12">
        <v>30</v>
      </c>
      <c r="I58" s="15" t="s">
        <v>58</v>
      </c>
    </row>
    <row r="59" spans="1:9" ht="18" thickBot="1" x14ac:dyDescent="0.3">
      <c r="A59" s="9" t="s">
        <v>11</v>
      </c>
      <c r="B59" s="10" t="s">
        <v>45</v>
      </c>
      <c r="C59" s="12">
        <v>0.2</v>
      </c>
      <c r="D59" s="11">
        <v>0</v>
      </c>
      <c r="E59" s="11">
        <v>0</v>
      </c>
      <c r="F59" s="11">
        <v>0</v>
      </c>
      <c r="G59" s="10" t="s">
        <v>5</v>
      </c>
      <c r="H59" s="12">
        <v>20</v>
      </c>
      <c r="I59" s="15" t="s">
        <v>58</v>
      </c>
    </row>
    <row r="60" spans="1:9" ht="18" thickBot="1" x14ac:dyDescent="0.3">
      <c r="A60" s="9" t="s">
        <v>11</v>
      </c>
      <c r="B60" s="10" t="s">
        <v>46</v>
      </c>
      <c r="C60" s="12">
        <v>0.25</v>
      </c>
      <c r="D60" s="11">
        <v>0</v>
      </c>
      <c r="E60" s="11">
        <v>0</v>
      </c>
      <c r="F60" s="11">
        <v>0</v>
      </c>
      <c r="G60" s="10" t="s">
        <v>5</v>
      </c>
      <c r="H60" s="12">
        <v>10</v>
      </c>
      <c r="I60" s="15" t="s">
        <v>58</v>
      </c>
    </row>
    <row r="61" spans="1:9" ht="18" thickBot="1" x14ac:dyDescent="0.3">
      <c r="A61" s="9" t="s">
        <v>11</v>
      </c>
      <c r="B61" s="10" t="s">
        <v>47</v>
      </c>
      <c r="C61" s="12">
        <v>0.5</v>
      </c>
      <c r="D61" s="11">
        <v>0</v>
      </c>
      <c r="E61" s="11">
        <v>0</v>
      </c>
      <c r="F61" s="12">
        <v>0.1</v>
      </c>
      <c r="G61" s="10" t="s">
        <v>6</v>
      </c>
      <c r="H61" s="12">
        <v>2</v>
      </c>
      <c r="I61" s="15" t="s">
        <v>71</v>
      </c>
    </row>
  </sheetData>
  <autoFilter ref="A1:H61" xr:uid="{C421039B-97CD-424E-BC53-CD501C6EBFC2}"/>
  <sortState xmlns:xlrd2="http://schemas.microsoft.com/office/spreadsheetml/2017/richdata2" ref="A2:H61">
    <sortCondition ref="A2:A61"/>
    <sortCondition ref="B2:B61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1BCF-0D98-44C1-90A4-9C912FD29F12}">
  <dimension ref="A1:M86"/>
  <sheetViews>
    <sheetView workbookViewId="0">
      <pane ySplit="1" topLeftCell="A2" activePane="bottomLeft" state="frozen"/>
      <selection pane="bottomLeft" activeCell="E1" sqref="E1:I2"/>
    </sheetView>
  </sheetViews>
  <sheetFormatPr defaultRowHeight="17.399999999999999" x14ac:dyDescent="0.4"/>
  <cols>
    <col min="1" max="1" width="9.8984375" bestFit="1" customWidth="1"/>
    <col min="2" max="3" width="14.3984375" bestFit="1" customWidth="1"/>
    <col min="4" max="4" width="15.3984375" bestFit="1" customWidth="1"/>
    <col min="5" max="5" width="9.8984375" bestFit="1" customWidth="1"/>
    <col min="6" max="6" width="10.5" bestFit="1" customWidth="1"/>
    <col min="7" max="7" width="6.796875" bestFit="1" customWidth="1"/>
    <col min="8" max="8" width="6.3984375" bestFit="1" customWidth="1"/>
    <col min="9" max="9" width="6.19921875" bestFit="1" customWidth="1"/>
    <col min="13" max="13" width="16.59765625" customWidth="1"/>
  </cols>
  <sheetData>
    <row r="1" spans="1:13" ht="26.4" x14ac:dyDescent="0.25">
      <c r="A1" s="18" t="s">
        <v>87</v>
      </c>
      <c r="B1" s="18" t="s">
        <v>88</v>
      </c>
      <c r="C1" s="18" t="s">
        <v>89</v>
      </c>
      <c r="D1" s="18" t="s">
        <v>90</v>
      </c>
      <c r="E1" s="1" t="s">
        <v>178</v>
      </c>
      <c r="F1" s="1" t="s">
        <v>177</v>
      </c>
      <c r="G1" s="1" t="s">
        <v>179</v>
      </c>
      <c r="H1" s="1" t="s">
        <v>180</v>
      </c>
      <c r="I1" s="1" t="s">
        <v>181</v>
      </c>
      <c r="M1" s="1" t="s">
        <v>270</v>
      </c>
    </row>
    <row r="2" spans="1:13" x14ac:dyDescent="0.25">
      <c r="A2" s="19">
        <v>1</v>
      </c>
      <c r="B2" s="20" t="s">
        <v>91</v>
      </c>
      <c r="C2" s="20" t="s">
        <v>91</v>
      </c>
      <c r="D2" s="21" t="s">
        <v>92</v>
      </c>
      <c r="E2" s="1" t="s">
        <v>182</v>
      </c>
      <c r="F2" s="1" t="s">
        <v>183</v>
      </c>
      <c r="G2" s="22">
        <v>50100</v>
      </c>
      <c r="H2" s="1" t="s">
        <v>184</v>
      </c>
      <c r="I2" s="1" t="s">
        <v>185</v>
      </c>
    </row>
    <row r="3" spans="1:13" x14ac:dyDescent="0.25">
      <c r="A3" s="19">
        <v>2</v>
      </c>
      <c r="B3" s="20" t="s">
        <v>93</v>
      </c>
      <c r="C3" s="20" t="s">
        <v>93</v>
      </c>
      <c r="D3" s="21" t="s">
        <v>92</v>
      </c>
      <c r="E3" s="1" t="s">
        <v>186</v>
      </c>
      <c r="F3" s="1" t="s">
        <v>183</v>
      </c>
      <c r="G3" s="22">
        <v>50100</v>
      </c>
      <c r="H3" s="1" t="s">
        <v>184</v>
      </c>
      <c r="I3" s="1" t="s">
        <v>185</v>
      </c>
    </row>
    <row r="4" spans="1:13" x14ac:dyDescent="0.25">
      <c r="A4" s="19">
        <v>3</v>
      </c>
      <c r="B4" s="20" t="s">
        <v>94</v>
      </c>
      <c r="C4" s="20" t="s">
        <v>94</v>
      </c>
      <c r="D4" s="21" t="s">
        <v>92</v>
      </c>
      <c r="E4" s="1" t="s">
        <v>187</v>
      </c>
      <c r="F4" s="1" t="s">
        <v>183</v>
      </c>
      <c r="G4" s="22">
        <v>50100</v>
      </c>
      <c r="H4" s="1" t="s">
        <v>184</v>
      </c>
      <c r="I4" s="1" t="s">
        <v>185</v>
      </c>
    </row>
    <row r="5" spans="1:13" x14ac:dyDescent="0.25">
      <c r="A5" s="19">
        <v>4</v>
      </c>
      <c r="B5" s="20" t="s">
        <v>95</v>
      </c>
      <c r="C5" s="20" t="s">
        <v>95</v>
      </c>
      <c r="D5" s="21" t="s">
        <v>92</v>
      </c>
      <c r="E5" s="1" t="s">
        <v>188</v>
      </c>
      <c r="F5" s="1" t="s">
        <v>183</v>
      </c>
      <c r="G5" s="22">
        <v>50100</v>
      </c>
      <c r="H5" s="1" t="s">
        <v>184</v>
      </c>
      <c r="I5" s="1" t="s">
        <v>185</v>
      </c>
    </row>
    <row r="6" spans="1:13" x14ac:dyDescent="0.25">
      <c r="A6" s="19">
        <v>5</v>
      </c>
      <c r="B6" s="20" t="s">
        <v>96</v>
      </c>
      <c r="C6" s="20" t="s">
        <v>96</v>
      </c>
      <c r="D6" s="21" t="s">
        <v>92</v>
      </c>
      <c r="E6" s="1" t="s">
        <v>189</v>
      </c>
      <c r="F6" s="1" t="s">
        <v>183</v>
      </c>
      <c r="G6" s="22">
        <v>50100</v>
      </c>
      <c r="H6" s="1" t="s">
        <v>184</v>
      </c>
      <c r="I6" s="1" t="s">
        <v>185</v>
      </c>
    </row>
    <row r="7" spans="1:13" x14ac:dyDescent="0.25">
      <c r="A7" s="19">
        <v>6</v>
      </c>
      <c r="B7" s="20" t="s">
        <v>97</v>
      </c>
      <c r="C7" s="20" t="s">
        <v>97</v>
      </c>
      <c r="D7" s="21" t="s">
        <v>92</v>
      </c>
      <c r="E7" s="1" t="s">
        <v>190</v>
      </c>
      <c r="F7" s="1" t="s">
        <v>183</v>
      </c>
      <c r="G7" s="22">
        <v>50100</v>
      </c>
      <c r="H7" s="1" t="s">
        <v>184</v>
      </c>
      <c r="I7" s="1" t="s">
        <v>185</v>
      </c>
    </row>
    <row r="8" spans="1:13" x14ac:dyDescent="0.25">
      <c r="A8" s="19">
        <v>7</v>
      </c>
      <c r="B8" s="20" t="s">
        <v>98</v>
      </c>
      <c r="C8" s="20" t="s">
        <v>98</v>
      </c>
      <c r="D8" s="21" t="s">
        <v>92</v>
      </c>
      <c r="E8" s="1" t="s">
        <v>191</v>
      </c>
      <c r="F8" s="1" t="s">
        <v>183</v>
      </c>
      <c r="G8" s="22">
        <v>50100</v>
      </c>
      <c r="H8" s="1" t="s">
        <v>184</v>
      </c>
      <c r="I8" s="1" t="s">
        <v>185</v>
      </c>
    </row>
    <row r="9" spans="1:13" x14ac:dyDescent="0.25">
      <c r="A9" s="19">
        <v>8</v>
      </c>
      <c r="B9" s="20" t="s">
        <v>99</v>
      </c>
      <c r="C9" s="20" t="s">
        <v>99</v>
      </c>
      <c r="D9" s="21" t="s">
        <v>92</v>
      </c>
      <c r="E9" s="1" t="s">
        <v>192</v>
      </c>
      <c r="F9" s="1" t="s">
        <v>183</v>
      </c>
      <c r="G9" s="22">
        <v>50100</v>
      </c>
      <c r="H9" s="1" t="s">
        <v>184</v>
      </c>
      <c r="I9" s="1" t="s">
        <v>185</v>
      </c>
    </row>
    <row r="10" spans="1:13" x14ac:dyDescent="0.25">
      <c r="A10" s="19">
        <v>9</v>
      </c>
      <c r="B10" s="20" t="s">
        <v>100</v>
      </c>
      <c r="C10" s="20" t="s">
        <v>100</v>
      </c>
      <c r="D10" s="21" t="s">
        <v>92</v>
      </c>
      <c r="E10" s="1" t="s">
        <v>193</v>
      </c>
      <c r="F10" s="1" t="s">
        <v>183</v>
      </c>
      <c r="G10" s="22">
        <v>50100</v>
      </c>
      <c r="H10" s="1" t="s">
        <v>184</v>
      </c>
      <c r="I10" s="1" t="s">
        <v>185</v>
      </c>
    </row>
    <row r="11" spans="1:13" x14ac:dyDescent="0.25">
      <c r="A11" s="19">
        <v>10</v>
      </c>
      <c r="B11" s="20" t="s">
        <v>101</v>
      </c>
      <c r="C11" s="20" t="s">
        <v>101</v>
      </c>
      <c r="D11" s="21" t="s">
        <v>92</v>
      </c>
      <c r="E11" s="1" t="s">
        <v>194</v>
      </c>
      <c r="F11" s="1" t="s">
        <v>183</v>
      </c>
      <c r="G11" s="22">
        <v>50100</v>
      </c>
      <c r="H11" s="1" t="s">
        <v>184</v>
      </c>
      <c r="I11" s="1" t="s">
        <v>185</v>
      </c>
    </row>
    <row r="12" spans="1:13" x14ac:dyDescent="0.25">
      <c r="A12" s="19">
        <v>11</v>
      </c>
      <c r="B12" s="20" t="s">
        <v>102</v>
      </c>
      <c r="C12" s="20" t="s">
        <v>102</v>
      </c>
      <c r="D12" s="21" t="s">
        <v>92</v>
      </c>
      <c r="E12" s="1" t="s">
        <v>195</v>
      </c>
      <c r="F12" s="1" t="s">
        <v>183</v>
      </c>
      <c r="G12" s="22">
        <v>50100</v>
      </c>
      <c r="H12" s="1" t="s">
        <v>184</v>
      </c>
      <c r="I12" s="1" t="s">
        <v>185</v>
      </c>
    </row>
    <row r="13" spans="1:13" x14ac:dyDescent="0.25">
      <c r="A13" s="19">
        <v>12</v>
      </c>
      <c r="B13" s="20" t="s">
        <v>103</v>
      </c>
      <c r="C13" s="20" t="s">
        <v>103</v>
      </c>
      <c r="D13" s="21" t="s">
        <v>92</v>
      </c>
      <c r="E13" s="1" t="s">
        <v>196</v>
      </c>
      <c r="F13" s="1" t="s">
        <v>183</v>
      </c>
      <c r="G13" s="22">
        <v>50100</v>
      </c>
      <c r="H13" s="1" t="s">
        <v>184</v>
      </c>
      <c r="I13" s="1" t="s">
        <v>185</v>
      </c>
    </row>
    <row r="14" spans="1:13" x14ac:dyDescent="0.25">
      <c r="A14" s="19">
        <v>13</v>
      </c>
      <c r="B14" s="20" t="s">
        <v>104</v>
      </c>
      <c r="C14" s="20" t="s">
        <v>104</v>
      </c>
      <c r="D14" s="21" t="s">
        <v>92</v>
      </c>
      <c r="E14" s="1" t="s">
        <v>197</v>
      </c>
      <c r="F14" s="1" t="s">
        <v>183</v>
      </c>
      <c r="G14" s="22">
        <v>50100</v>
      </c>
      <c r="H14" s="1" t="s">
        <v>184</v>
      </c>
      <c r="I14" s="1" t="s">
        <v>185</v>
      </c>
    </row>
    <row r="15" spans="1:13" x14ac:dyDescent="0.25">
      <c r="A15" s="19">
        <v>14</v>
      </c>
      <c r="B15" s="20" t="s">
        <v>105</v>
      </c>
      <c r="C15" s="20" t="s">
        <v>105</v>
      </c>
      <c r="D15" s="21" t="s">
        <v>92</v>
      </c>
      <c r="E15" s="1" t="s">
        <v>198</v>
      </c>
      <c r="F15" s="1" t="s">
        <v>183</v>
      </c>
      <c r="G15" s="22">
        <v>50100</v>
      </c>
      <c r="H15" s="1" t="s">
        <v>184</v>
      </c>
      <c r="I15" s="1" t="s">
        <v>185</v>
      </c>
    </row>
    <row r="16" spans="1:13" x14ac:dyDescent="0.25">
      <c r="A16" s="19">
        <v>15</v>
      </c>
      <c r="B16" s="20" t="s">
        <v>106</v>
      </c>
      <c r="C16" s="20" t="s">
        <v>106</v>
      </c>
      <c r="D16" s="21" t="s">
        <v>92</v>
      </c>
      <c r="E16" s="1" t="s">
        <v>199</v>
      </c>
      <c r="F16" s="1" t="s">
        <v>183</v>
      </c>
      <c r="G16" s="22">
        <v>50100</v>
      </c>
      <c r="H16" s="1" t="s">
        <v>184</v>
      </c>
      <c r="I16" s="1" t="s">
        <v>185</v>
      </c>
    </row>
    <row r="17" spans="1:9" x14ac:dyDescent="0.25">
      <c r="A17" s="19">
        <v>16</v>
      </c>
      <c r="B17" s="20" t="s">
        <v>107</v>
      </c>
      <c r="C17" s="20" t="s">
        <v>107</v>
      </c>
      <c r="D17" s="21" t="s">
        <v>92</v>
      </c>
      <c r="E17" s="1" t="s">
        <v>200</v>
      </c>
      <c r="F17" s="1" t="s">
        <v>183</v>
      </c>
      <c r="G17" s="22">
        <v>50100</v>
      </c>
      <c r="H17" s="1" t="s">
        <v>184</v>
      </c>
      <c r="I17" s="1" t="s">
        <v>185</v>
      </c>
    </row>
    <row r="18" spans="1:9" x14ac:dyDescent="0.25">
      <c r="A18" s="19">
        <v>17</v>
      </c>
      <c r="B18" s="20" t="s">
        <v>108</v>
      </c>
      <c r="C18" s="20" t="s">
        <v>108</v>
      </c>
      <c r="D18" s="21" t="s">
        <v>92</v>
      </c>
      <c r="E18" s="1" t="s">
        <v>201</v>
      </c>
      <c r="F18" s="1" t="s">
        <v>183</v>
      </c>
      <c r="G18" s="22">
        <v>50100</v>
      </c>
      <c r="H18" s="1" t="s">
        <v>184</v>
      </c>
      <c r="I18" s="1" t="s">
        <v>185</v>
      </c>
    </row>
    <row r="19" spans="1:9" x14ac:dyDescent="0.25">
      <c r="A19" s="19">
        <v>18</v>
      </c>
      <c r="B19" s="20" t="s">
        <v>109</v>
      </c>
      <c r="C19" s="20" t="s">
        <v>109</v>
      </c>
      <c r="D19" s="21" t="s">
        <v>92</v>
      </c>
      <c r="E19" s="1" t="s">
        <v>202</v>
      </c>
      <c r="F19" s="1" t="s">
        <v>183</v>
      </c>
      <c r="G19" s="22">
        <v>50100</v>
      </c>
      <c r="H19" s="1" t="s">
        <v>184</v>
      </c>
      <c r="I19" s="1" t="s">
        <v>185</v>
      </c>
    </row>
    <row r="20" spans="1:9" x14ac:dyDescent="0.25">
      <c r="A20" s="19">
        <v>19</v>
      </c>
      <c r="B20" s="20" t="s">
        <v>110</v>
      </c>
      <c r="C20" s="20" t="s">
        <v>110</v>
      </c>
      <c r="D20" s="21" t="s">
        <v>92</v>
      </c>
      <c r="E20" s="1" t="s">
        <v>203</v>
      </c>
      <c r="F20" s="1" t="s">
        <v>183</v>
      </c>
      <c r="G20" s="22">
        <v>50100</v>
      </c>
      <c r="H20" s="1" t="s">
        <v>184</v>
      </c>
      <c r="I20" s="1" t="s">
        <v>185</v>
      </c>
    </row>
    <row r="21" spans="1:9" x14ac:dyDescent="0.25">
      <c r="A21" s="19">
        <v>20</v>
      </c>
      <c r="B21" s="20" t="s">
        <v>111</v>
      </c>
      <c r="C21" s="20" t="s">
        <v>111</v>
      </c>
      <c r="D21" s="21" t="s">
        <v>92</v>
      </c>
      <c r="E21" s="1" t="s">
        <v>204</v>
      </c>
      <c r="F21" s="1" t="s">
        <v>183</v>
      </c>
      <c r="G21" s="22">
        <v>50100</v>
      </c>
      <c r="H21" s="1" t="s">
        <v>184</v>
      </c>
      <c r="I21" s="1" t="s">
        <v>185</v>
      </c>
    </row>
    <row r="22" spans="1:9" x14ac:dyDescent="0.25">
      <c r="A22" s="19">
        <v>21</v>
      </c>
      <c r="B22" s="20" t="s">
        <v>112</v>
      </c>
      <c r="C22" s="20" t="s">
        <v>112</v>
      </c>
      <c r="D22" s="21" t="s">
        <v>92</v>
      </c>
      <c r="E22" s="1" t="s">
        <v>205</v>
      </c>
      <c r="F22" s="1" t="s">
        <v>183</v>
      </c>
      <c r="G22" s="22">
        <v>50100</v>
      </c>
      <c r="H22" s="1" t="s">
        <v>184</v>
      </c>
      <c r="I22" s="1" t="s">
        <v>185</v>
      </c>
    </row>
    <row r="23" spans="1:9" x14ac:dyDescent="0.25">
      <c r="A23" s="19">
        <v>22</v>
      </c>
      <c r="B23" s="20" t="s">
        <v>113</v>
      </c>
      <c r="C23" s="20" t="s">
        <v>113</v>
      </c>
      <c r="D23" s="21" t="s">
        <v>92</v>
      </c>
      <c r="E23" s="1" t="s">
        <v>206</v>
      </c>
      <c r="F23" s="1" t="s">
        <v>183</v>
      </c>
      <c r="G23" s="22">
        <v>50100</v>
      </c>
      <c r="H23" s="1" t="s">
        <v>184</v>
      </c>
      <c r="I23" s="1" t="s">
        <v>185</v>
      </c>
    </row>
    <row r="24" spans="1:9" x14ac:dyDescent="0.25">
      <c r="A24" s="19">
        <v>23</v>
      </c>
      <c r="B24" s="20" t="s">
        <v>114</v>
      </c>
      <c r="C24" s="20" t="s">
        <v>114</v>
      </c>
      <c r="D24" s="21" t="s">
        <v>92</v>
      </c>
      <c r="E24" s="1" t="s">
        <v>207</v>
      </c>
      <c r="F24" s="1" t="s">
        <v>183</v>
      </c>
      <c r="G24" s="22">
        <v>50100</v>
      </c>
      <c r="H24" s="1" t="s">
        <v>184</v>
      </c>
      <c r="I24" s="1" t="s">
        <v>185</v>
      </c>
    </row>
    <row r="25" spans="1:9" x14ac:dyDescent="0.25">
      <c r="A25" s="19">
        <v>24</v>
      </c>
      <c r="B25" s="20" t="s">
        <v>115</v>
      </c>
      <c r="C25" s="20" t="s">
        <v>115</v>
      </c>
      <c r="D25" s="21" t="s">
        <v>92</v>
      </c>
      <c r="E25" s="1" t="s">
        <v>208</v>
      </c>
      <c r="F25" s="1" t="s">
        <v>183</v>
      </c>
      <c r="G25" s="22">
        <v>50100</v>
      </c>
      <c r="H25" s="1" t="s">
        <v>184</v>
      </c>
      <c r="I25" s="1" t="s">
        <v>185</v>
      </c>
    </row>
    <row r="26" spans="1:9" x14ac:dyDescent="0.25">
      <c r="A26" s="19">
        <v>25</v>
      </c>
      <c r="B26" s="20" t="s">
        <v>116</v>
      </c>
      <c r="C26" s="20" t="s">
        <v>116</v>
      </c>
      <c r="D26" s="21" t="s">
        <v>92</v>
      </c>
      <c r="E26" s="1" t="s">
        <v>209</v>
      </c>
      <c r="F26" s="1" t="s">
        <v>183</v>
      </c>
      <c r="G26" s="22">
        <v>50100</v>
      </c>
      <c r="H26" s="1" t="s">
        <v>184</v>
      </c>
      <c r="I26" s="1" t="s">
        <v>185</v>
      </c>
    </row>
    <row r="27" spans="1:9" x14ac:dyDescent="0.25">
      <c r="A27" s="19">
        <v>26</v>
      </c>
      <c r="B27" s="20" t="s">
        <v>117</v>
      </c>
      <c r="C27" s="20" t="s">
        <v>117</v>
      </c>
      <c r="D27" s="21" t="s">
        <v>92</v>
      </c>
      <c r="E27" s="1" t="s">
        <v>210</v>
      </c>
      <c r="F27" s="1" t="s">
        <v>183</v>
      </c>
      <c r="G27" s="22">
        <v>50100</v>
      </c>
      <c r="H27" s="1" t="s">
        <v>184</v>
      </c>
      <c r="I27" s="1" t="s">
        <v>185</v>
      </c>
    </row>
    <row r="28" spans="1:9" x14ac:dyDescent="0.25">
      <c r="A28" s="19">
        <v>27</v>
      </c>
      <c r="B28" s="20" t="s">
        <v>118</v>
      </c>
      <c r="C28" s="20" t="s">
        <v>118</v>
      </c>
      <c r="D28" s="21" t="s">
        <v>92</v>
      </c>
      <c r="E28" s="1" t="s">
        <v>211</v>
      </c>
      <c r="F28" s="1" t="s">
        <v>183</v>
      </c>
      <c r="G28" s="22">
        <v>50100</v>
      </c>
      <c r="H28" s="1" t="s">
        <v>184</v>
      </c>
      <c r="I28" s="1" t="s">
        <v>185</v>
      </c>
    </row>
    <row r="29" spans="1:9" x14ac:dyDescent="0.25">
      <c r="A29" s="19">
        <v>28</v>
      </c>
      <c r="B29" s="20" t="s">
        <v>119</v>
      </c>
      <c r="C29" s="20" t="s">
        <v>119</v>
      </c>
      <c r="D29" s="21" t="s">
        <v>92</v>
      </c>
      <c r="E29" s="1" t="s">
        <v>212</v>
      </c>
      <c r="F29" s="1" t="s">
        <v>183</v>
      </c>
      <c r="G29" s="22">
        <v>50100</v>
      </c>
      <c r="H29" s="1" t="s">
        <v>184</v>
      </c>
      <c r="I29" s="1" t="s">
        <v>185</v>
      </c>
    </row>
    <row r="30" spans="1:9" x14ac:dyDescent="0.25">
      <c r="A30" s="19">
        <v>29</v>
      </c>
      <c r="B30" s="20" t="s">
        <v>120</v>
      </c>
      <c r="C30" s="20" t="s">
        <v>120</v>
      </c>
      <c r="D30" s="21" t="s">
        <v>92</v>
      </c>
      <c r="E30" s="1" t="s">
        <v>213</v>
      </c>
      <c r="F30" s="1" t="s">
        <v>183</v>
      </c>
      <c r="G30" s="22">
        <v>50100</v>
      </c>
      <c r="H30" s="1" t="s">
        <v>184</v>
      </c>
      <c r="I30" s="1" t="s">
        <v>185</v>
      </c>
    </row>
    <row r="31" spans="1:9" x14ac:dyDescent="0.25">
      <c r="A31" s="19">
        <v>30</v>
      </c>
      <c r="B31" s="20" t="s">
        <v>121</v>
      </c>
      <c r="C31" s="20" t="s">
        <v>121</v>
      </c>
      <c r="D31" s="21" t="s">
        <v>92</v>
      </c>
      <c r="E31" s="1" t="s">
        <v>214</v>
      </c>
      <c r="F31" s="1" t="s">
        <v>183</v>
      </c>
      <c r="G31" s="22">
        <v>50100</v>
      </c>
      <c r="H31" s="1" t="s">
        <v>184</v>
      </c>
      <c r="I31" s="1" t="s">
        <v>185</v>
      </c>
    </row>
    <row r="32" spans="1:9" x14ac:dyDescent="0.25">
      <c r="A32" s="19">
        <v>31</v>
      </c>
      <c r="B32" s="20" t="s">
        <v>122</v>
      </c>
      <c r="C32" s="20" t="s">
        <v>122</v>
      </c>
      <c r="D32" s="21" t="s">
        <v>92</v>
      </c>
      <c r="E32" s="1" t="s">
        <v>215</v>
      </c>
      <c r="F32" s="1" t="s">
        <v>183</v>
      </c>
      <c r="G32" s="22">
        <v>50100</v>
      </c>
      <c r="H32" s="1" t="s">
        <v>184</v>
      </c>
      <c r="I32" s="1" t="s">
        <v>185</v>
      </c>
    </row>
    <row r="33" spans="1:9" x14ac:dyDescent="0.25">
      <c r="A33" s="19">
        <v>32</v>
      </c>
      <c r="B33" s="20" t="s">
        <v>123</v>
      </c>
      <c r="C33" s="20" t="s">
        <v>123</v>
      </c>
      <c r="D33" s="21" t="s">
        <v>92</v>
      </c>
      <c r="E33" s="1" t="s">
        <v>216</v>
      </c>
      <c r="F33" s="1" t="s">
        <v>183</v>
      </c>
      <c r="G33" s="22">
        <v>50100</v>
      </c>
      <c r="H33" s="1" t="s">
        <v>184</v>
      </c>
      <c r="I33" s="1" t="s">
        <v>185</v>
      </c>
    </row>
    <row r="34" spans="1:9" x14ac:dyDescent="0.25">
      <c r="A34" s="19">
        <v>33</v>
      </c>
      <c r="B34" s="20" t="s">
        <v>124</v>
      </c>
      <c r="C34" s="20" t="s">
        <v>124</v>
      </c>
      <c r="D34" s="21" t="s">
        <v>92</v>
      </c>
      <c r="E34" s="1" t="s">
        <v>217</v>
      </c>
      <c r="F34" s="1" t="s">
        <v>183</v>
      </c>
      <c r="G34" s="22">
        <v>50100</v>
      </c>
      <c r="H34" s="1" t="s">
        <v>184</v>
      </c>
      <c r="I34" s="1" t="s">
        <v>185</v>
      </c>
    </row>
    <row r="35" spans="1:9" x14ac:dyDescent="0.25">
      <c r="A35" s="19">
        <v>34</v>
      </c>
      <c r="B35" s="20" t="s">
        <v>125</v>
      </c>
      <c r="C35" s="20" t="s">
        <v>125</v>
      </c>
      <c r="D35" s="21" t="s">
        <v>92</v>
      </c>
      <c r="E35" s="1" t="s">
        <v>218</v>
      </c>
      <c r="F35" s="1" t="s">
        <v>183</v>
      </c>
      <c r="G35" s="22">
        <v>50100</v>
      </c>
      <c r="H35" s="1" t="s">
        <v>184</v>
      </c>
      <c r="I35" s="1" t="s">
        <v>185</v>
      </c>
    </row>
    <row r="36" spans="1:9" x14ac:dyDescent="0.25">
      <c r="A36" s="19">
        <v>35</v>
      </c>
      <c r="B36" s="20" t="s">
        <v>126</v>
      </c>
      <c r="C36" s="20" t="s">
        <v>126</v>
      </c>
      <c r="D36" s="21" t="s">
        <v>92</v>
      </c>
      <c r="E36" s="1" t="s">
        <v>219</v>
      </c>
      <c r="F36" s="1" t="s">
        <v>183</v>
      </c>
      <c r="G36" s="22">
        <v>50100</v>
      </c>
      <c r="H36" s="1" t="s">
        <v>184</v>
      </c>
      <c r="I36" s="1" t="s">
        <v>185</v>
      </c>
    </row>
    <row r="37" spans="1:9" x14ac:dyDescent="0.25">
      <c r="A37" s="19">
        <v>36</v>
      </c>
      <c r="B37" s="20" t="s">
        <v>127</v>
      </c>
      <c r="C37" s="20" t="s">
        <v>127</v>
      </c>
      <c r="D37" s="21" t="s">
        <v>92</v>
      </c>
      <c r="E37" s="1" t="s">
        <v>220</v>
      </c>
      <c r="F37" s="1" t="s">
        <v>183</v>
      </c>
      <c r="G37" s="22">
        <v>50100</v>
      </c>
      <c r="H37" s="1" t="s">
        <v>184</v>
      </c>
      <c r="I37" s="1" t="s">
        <v>185</v>
      </c>
    </row>
    <row r="38" spans="1:9" x14ac:dyDescent="0.25">
      <c r="A38" s="19">
        <v>37</v>
      </c>
      <c r="B38" s="20" t="s">
        <v>128</v>
      </c>
      <c r="C38" s="20" t="s">
        <v>128</v>
      </c>
      <c r="D38" s="21" t="s">
        <v>92</v>
      </c>
      <c r="E38" s="1" t="s">
        <v>221</v>
      </c>
      <c r="F38" s="1" t="s">
        <v>183</v>
      </c>
      <c r="G38" s="22">
        <v>50100</v>
      </c>
      <c r="H38" s="1" t="s">
        <v>184</v>
      </c>
      <c r="I38" s="1" t="s">
        <v>185</v>
      </c>
    </row>
    <row r="39" spans="1:9" x14ac:dyDescent="0.25">
      <c r="A39" s="19">
        <v>38</v>
      </c>
      <c r="B39" s="20" t="s">
        <v>129</v>
      </c>
      <c r="C39" s="20" t="s">
        <v>129</v>
      </c>
      <c r="D39" s="21" t="s">
        <v>92</v>
      </c>
      <c r="E39" s="1" t="s">
        <v>222</v>
      </c>
      <c r="F39" s="1" t="s">
        <v>183</v>
      </c>
      <c r="G39" s="22">
        <v>50100</v>
      </c>
      <c r="H39" s="1" t="s">
        <v>184</v>
      </c>
      <c r="I39" s="1" t="s">
        <v>185</v>
      </c>
    </row>
    <row r="40" spans="1:9" x14ac:dyDescent="0.25">
      <c r="A40" s="19">
        <v>39</v>
      </c>
      <c r="B40" s="20" t="s">
        <v>130</v>
      </c>
      <c r="C40" s="20" t="s">
        <v>130</v>
      </c>
      <c r="D40" s="21" t="s">
        <v>92</v>
      </c>
      <c r="E40" s="1" t="s">
        <v>223</v>
      </c>
      <c r="F40" s="1" t="s">
        <v>183</v>
      </c>
      <c r="G40" s="22">
        <v>50100</v>
      </c>
      <c r="H40" s="1" t="s">
        <v>184</v>
      </c>
      <c r="I40" s="1" t="s">
        <v>185</v>
      </c>
    </row>
    <row r="41" spans="1:9" x14ac:dyDescent="0.25">
      <c r="A41" s="19">
        <v>40</v>
      </c>
      <c r="B41" s="20" t="s">
        <v>131</v>
      </c>
      <c r="C41" s="20" t="s">
        <v>131</v>
      </c>
      <c r="D41" s="21" t="s">
        <v>92</v>
      </c>
      <c r="E41" s="1" t="s">
        <v>224</v>
      </c>
      <c r="F41" s="1" t="s">
        <v>183</v>
      </c>
      <c r="G41" s="22">
        <v>50100</v>
      </c>
      <c r="H41" s="1" t="s">
        <v>184</v>
      </c>
      <c r="I41" s="1" t="s">
        <v>185</v>
      </c>
    </row>
    <row r="42" spans="1:9" x14ac:dyDescent="0.25">
      <c r="A42" s="19">
        <v>41</v>
      </c>
      <c r="B42" s="20" t="s">
        <v>132</v>
      </c>
      <c r="C42" s="20" t="s">
        <v>132</v>
      </c>
      <c r="D42" s="21" t="s">
        <v>92</v>
      </c>
      <c r="E42" s="1" t="s">
        <v>225</v>
      </c>
      <c r="F42" s="1" t="s">
        <v>183</v>
      </c>
      <c r="G42" s="22">
        <v>50100</v>
      </c>
      <c r="H42" s="1" t="s">
        <v>184</v>
      </c>
      <c r="I42" s="1" t="s">
        <v>185</v>
      </c>
    </row>
    <row r="43" spans="1:9" x14ac:dyDescent="0.25">
      <c r="A43" s="19">
        <v>42</v>
      </c>
      <c r="B43" s="20" t="s">
        <v>133</v>
      </c>
      <c r="C43" s="20" t="s">
        <v>133</v>
      </c>
      <c r="D43" s="21" t="s">
        <v>92</v>
      </c>
      <c r="E43" s="1" t="s">
        <v>226</v>
      </c>
      <c r="F43" s="1" t="s">
        <v>183</v>
      </c>
      <c r="G43" s="22">
        <v>50100</v>
      </c>
      <c r="H43" s="1" t="s">
        <v>184</v>
      </c>
      <c r="I43" s="1" t="s">
        <v>185</v>
      </c>
    </row>
    <row r="44" spans="1:9" x14ac:dyDescent="0.25">
      <c r="A44" s="19">
        <v>43</v>
      </c>
      <c r="B44" s="20" t="s">
        <v>134</v>
      </c>
      <c r="C44" s="20" t="s">
        <v>134</v>
      </c>
      <c r="D44" s="21" t="s">
        <v>92</v>
      </c>
      <c r="E44" s="1" t="s">
        <v>227</v>
      </c>
      <c r="F44" s="1" t="s">
        <v>183</v>
      </c>
      <c r="G44" s="22">
        <v>50100</v>
      </c>
      <c r="H44" s="1" t="s">
        <v>184</v>
      </c>
      <c r="I44" s="1" t="s">
        <v>185</v>
      </c>
    </row>
    <row r="45" spans="1:9" x14ac:dyDescent="0.25">
      <c r="A45" s="19">
        <v>44</v>
      </c>
      <c r="B45" s="20" t="s">
        <v>135</v>
      </c>
      <c r="C45" s="20" t="s">
        <v>135</v>
      </c>
      <c r="D45" s="21" t="s">
        <v>92</v>
      </c>
      <c r="E45" s="1" t="s">
        <v>228</v>
      </c>
      <c r="F45" s="1" t="s">
        <v>183</v>
      </c>
      <c r="G45" s="22">
        <v>50100</v>
      </c>
      <c r="H45" s="1" t="s">
        <v>184</v>
      </c>
      <c r="I45" s="1" t="s">
        <v>185</v>
      </c>
    </row>
    <row r="46" spans="1:9" x14ac:dyDescent="0.25">
      <c r="A46" s="19">
        <v>45</v>
      </c>
      <c r="B46" s="20" t="s">
        <v>136</v>
      </c>
      <c r="C46" s="20" t="s">
        <v>136</v>
      </c>
      <c r="D46" s="21" t="s">
        <v>92</v>
      </c>
      <c r="E46" s="1" t="s">
        <v>229</v>
      </c>
      <c r="F46" s="1" t="s">
        <v>183</v>
      </c>
      <c r="G46" s="22">
        <v>50100</v>
      </c>
      <c r="H46" s="1" t="s">
        <v>184</v>
      </c>
      <c r="I46" s="1" t="s">
        <v>185</v>
      </c>
    </row>
    <row r="47" spans="1:9" x14ac:dyDescent="0.25">
      <c r="A47" s="19">
        <v>46</v>
      </c>
      <c r="B47" s="20" t="s">
        <v>137</v>
      </c>
      <c r="C47" s="20" t="s">
        <v>137</v>
      </c>
      <c r="D47" s="21" t="s">
        <v>92</v>
      </c>
      <c r="E47" s="1" t="s">
        <v>230</v>
      </c>
      <c r="F47" s="1" t="s">
        <v>183</v>
      </c>
      <c r="G47" s="22">
        <v>50100</v>
      </c>
      <c r="H47" s="1" t="s">
        <v>184</v>
      </c>
      <c r="I47" s="1" t="s">
        <v>185</v>
      </c>
    </row>
    <row r="48" spans="1:9" x14ac:dyDescent="0.25">
      <c r="A48" s="19">
        <v>47</v>
      </c>
      <c r="B48" s="20" t="s">
        <v>138</v>
      </c>
      <c r="C48" s="20" t="s">
        <v>138</v>
      </c>
      <c r="D48" s="21" t="s">
        <v>92</v>
      </c>
      <c r="E48" s="1" t="s">
        <v>231</v>
      </c>
      <c r="F48" s="1" t="s">
        <v>183</v>
      </c>
      <c r="G48" s="22">
        <v>50100</v>
      </c>
      <c r="H48" s="1" t="s">
        <v>184</v>
      </c>
      <c r="I48" s="1" t="s">
        <v>185</v>
      </c>
    </row>
    <row r="49" spans="1:9" x14ac:dyDescent="0.25">
      <c r="A49" s="19">
        <v>48</v>
      </c>
      <c r="B49" s="20" t="s">
        <v>139</v>
      </c>
      <c r="C49" s="20" t="s">
        <v>139</v>
      </c>
      <c r="D49" s="21" t="s">
        <v>92</v>
      </c>
      <c r="E49" s="1" t="s">
        <v>232</v>
      </c>
      <c r="F49" s="1" t="s">
        <v>183</v>
      </c>
      <c r="G49" s="22">
        <v>50100</v>
      </c>
      <c r="H49" s="1" t="s">
        <v>184</v>
      </c>
      <c r="I49" s="1" t="s">
        <v>185</v>
      </c>
    </row>
    <row r="50" spans="1:9" x14ac:dyDescent="0.25">
      <c r="A50" s="19">
        <v>49</v>
      </c>
      <c r="B50" s="20" t="s">
        <v>140</v>
      </c>
      <c r="C50" s="20" t="s">
        <v>140</v>
      </c>
      <c r="D50" s="21" t="s">
        <v>92</v>
      </c>
      <c r="E50" s="1" t="s">
        <v>233</v>
      </c>
      <c r="F50" s="1" t="s">
        <v>183</v>
      </c>
      <c r="G50" s="22">
        <v>50100</v>
      </c>
      <c r="H50" s="1" t="s">
        <v>184</v>
      </c>
      <c r="I50" s="1" t="s">
        <v>185</v>
      </c>
    </row>
    <row r="51" spans="1:9" x14ac:dyDescent="0.25">
      <c r="A51" s="19">
        <v>50</v>
      </c>
      <c r="B51" s="20" t="s">
        <v>141</v>
      </c>
      <c r="C51" s="20" t="s">
        <v>141</v>
      </c>
      <c r="D51" s="21" t="s">
        <v>92</v>
      </c>
      <c r="E51" s="1" t="s">
        <v>234</v>
      </c>
      <c r="F51" s="1" t="s">
        <v>183</v>
      </c>
      <c r="G51" s="22">
        <v>50100</v>
      </c>
      <c r="H51" s="1" t="s">
        <v>184</v>
      </c>
      <c r="I51" s="1" t="s">
        <v>185</v>
      </c>
    </row>
    <row r="52" spans="1:9" x14ac:dyDescent="0.25">
      <c r="A52" s="19">
        <v>51</v>
      </c>
      <c r="B52" s="20" t="s">
        <v>142</v>
      </c>
      <c r="C52" s="20" t="s">
        <v>142</v>
      </c>
      <c r="D52" s="21" t="s">
        <v>92</v>
      </c>
      <c r="E52" s="1" t="s">
        <v>235</v>
      </c>
      <c r="F52" s="1" t="s">
        <v>183</v>
      </c>
      <c r="G52" s="22">
        <v>50100</v>
      </c>
      <c r="H52" s="1" t="s">
        <v>184</v>
      </c>
      <c r="I52" s="1" t="s">
        <v>185</v>
      </c>
    </row>
    <row r="53" spans="1:9" x14ac:dyDescent="0.25">
      <c r="A53" s="19">
        <v>52</v>
      </c>
      <c r="B53" s="20" t="s">
        <v>143</v>
      </c>
      <c r="C53" s="20" t="s">
        <v>143</v>
      </c>
      <c r="D53" s="21" t="s">
        <v>92</v>
      </c>
      <c r="E53" s="1" t="s">
        <v>236</v>
      </c>
      <c r="F53" s="1" t="s">
        <v>183</v>
      </c>
      <c r="G53" s="22">
        <v>50100</v>
      </c>
      <c r="H53" s="1" t="s">
        <v>184</v>
      </c>
      <c r="I53" s="1" t="s">
        <v>185</v>
      </c>
    </row>
    <row r="54" spans="1:9" x14ac:dyDescent="0.25">
      <c r="A54" s="19">
        <v>53</v>
      </c>
      <c r="B54" s="20" t="s">
        <v>144</v>
      </c>
      <c r="C54" s="20" t="s">
        <v>144</v>
      </c>
      <c r="D54" s="21" t="s">
        <v>92</v>
      </c>
      <c r="E54" s="1" t="s">
        <v>237</v>
      </c>
      <c r="F54" s="1" t="s">
        <v>183</v>
      </c>
      <c r="G54" s="22">
        <v>50100</v>
      </c>
      <c r="H54" s="1" t="s">
        <v>184</v>
      </c>
      <c r="I54" s="1" t="s">
        <v>185</v>
      </c>
    </row>
    <row r="55" spans="1:9" x14ac:dyDescent="0.25">
      <c r="A55" s="19">
        <v>54</v>
      </c>
      <c r="B55" s="20" t="s">
        <v>145</v>
      </c>
      <c r="C55" s="20" t="s">
        <v>145</v>
      </c>
      <c r="D55" s="21" t="s">
        <v>92</v>
      </c>
      <c r="E55" s="1" t="s">
        <v>238</v>
      </c>
      <c r="F55" s="1" t="s">
        <v>183</v>
      </c>
      <c r="G55" s="22">
        <v>50100</v>
      </c>
      <c r="H55" s="1" t="s">
        <v>184</v>
      </c>
      <c r="I55" s="1" t="s">
        <v>185</v>
      </c>
    </row>
    <row r="56" spans="1:9" x14ac:dyDescent="0.25">
      <c r="A56" s="19">
        <v>55</v>
      </c>
      <c r="B56" s="20" t="s">
        <v>146</v>
      </c>
      <c r="C56" s="20" t="s">
        <v>146</v>
      </c>
      <c r="D56" s="21" t="s">
        <v>92</v>
      </c>
      <c r="E56" s="1" t="s">
        <v>239</v>
      </c>
      <c r="F56" s="1" t="s">
        <v>183</v>
      </c>
      <c r="G56" s="22">
        <v>50100</v>
      </c>
      <c r="H56" s="1" t="s">
        <v>184</v>
      </c>
      <c r="I56" s="1" t="s">
        <v>185</v>
      </c>
    </row>
    <row r="57" spans="1:9" x14ac:dyDescent="0.25">
      <c r="A57" s="19">
        <v>56</v>
      </c>
      <c r="B57" s="20" t="s">
        <v>147</v>
      </c>
      <c r="C57" s="20" t="s">
        <v>147</v>
      </c>
      <c r="D57" s="21" t="s">
        <v>92</v>
      </c>
      <c r="E57" s="1" t="s">
        <v>240</v>
      </c>
      <c r="F57" s="1" t="s">
        <v>183</v>
      </c>
      <c r="G57" s="22">
        <v>50100</v>
      </c>
      <c r="H57" s="1" t="s">
        <v>184</v>
      </c>
      <c r="I57" s="1" t="s">
        <v>185</v>
      </c>
    </row>
    <row r="58" spans="1:9" x14ac:dyDescent="0.25">
      <c r="A58" s="19">
        <v>57</v>
      </c>
      <c r="B58" s="20" t="s">
        <v>148</v>
      </c>
      <c r="C58" s="20" t="s">
        <v>148</v>
      </c>
      <c r="D58" s="21" t="s">
        <v>92</v>
      </c>
      <c r="E58" s="1" t="s">
        <v>241</v>
      </c>
      <c r="F58" s="1" t="s">
        <v>183</v>
      </c>
      <c r="G58" s="22">
        <v>50100</v>
      </c>
      <c r="H58" s="1" t="s">
        <v>184</v>
      </c>
      <c r="I58" s="1" t="s">
        <v>185</v>
      </c>
    </row>
    <row r="59" spans="1:9" x14ac:dyDescent="0.25">
      <c r="A59" s="19">
        <v>58</v>
      </c>
      <c r="B59" s="20" t="s">
        <v>149</v>
      </c>
      <c r="C59" s="20" t="s">
        <v>149</v>
      </c>
      <c r="D59" s="21" t="s">
        <v>92</v>
      </c>
      <c r="E59" s="1" t="s">
        <v>242</v>
      </c>
      <c r="F59" s="1" t="s">
        <v>183</v>
      </c>
      <c r="G59" s="22">
        <v>50100</v>
      </c>
      <c r="H59" s="1" t="s">
        <v>184</v>
      </c>
      <c r="I59" s="1" t="s">
        <v>185</v>
      </c>
    </row>
    <row r="60" spans="1:9" x14ac:dyDescent="0.25">
      <c r="A60" s="19">
        <v>59</v>
      </c>
      <c r="B60" s="20" t="s">
        <v>150</v>
      </c>
      <c r="C60" s="20" t="s">
        <v>150</v>
      </c>
      <c r="D60" s="21" t="s">
        <v>92</v>
      </c>
      <c r="E60" s="1" t="s">
        <v>243</v>
      </c>
      <c r="F60" s="1" t="s">
        <v>183</v>
      </c>
      <c r="G60" s="22">
        <v>50100</v>
      </c>
      <c r="H60" s="1" t="s">
        <v>184</v>
      </c>
      <c r="I60" s="1" t="s">
        <v>185</v>
      </c>
    </row>
    <row r="61" spans="1:9" x14ac:dyDescent="0.25">
      <c r="A61" s="19">
        <v>60</v>
      </c>
      <c r="B61" s="20" t="s">
        <v>151</v>
      </c>
      <c r="C61" s="20" t="s">
        <v>151</v>
      </c>
      <c r="D61" s="21" t="s">
        <v>92</v>
      </c>
      <c r="E61" s="1" t="s">
        <v>244</v>
      </c>
      <c r="F61" s="1" t="s">
        <v>183</v>
      </c>
      <c r="G61" s="22">
        <v>50100</v>
      </c>
      <c r="H61" s="1" t="s">
        <v>184</v>
      </c>
      <c r="I61" s="1" t="s">
        <v>185</v>
      </c>
    </row>
    <row r="62" spans="1:9" x14ac:dyDescent="0.25">
      <c r="A62" s="19">
        <v>61</v>
      </c>
      <c r="B62" s="20" t="s">
        <v>152</v>
      </c>
      <c r="C62" s="20" t="s">
        <v>152</v>
      </c>
      <c r="D62" s="21" t="s">
        <v>92</v>
      </c>
      <c r="E62" s="1" t="s">
        <v>245</v>
      </c>
      <c r="F62" s="1" t="s">
        <v>183</v>
      </c>
      <c r="G62" s="22">
        <v>50100</v>
      </c>
      <c r="H62" s="1" t="s">
        <v>184</v>
      </c>
      <c r="I62" s="1" t="s">
        <v>185</v>
      </c>
    </row>
    <row r="63" spans="1:9" x14ac:dyDescent="0.25">
      <c r="A63" s="19">
        <v>62</v>
      </c>
      <c r="B63" s="20" t="s">
        <v>153</v>
      </c>
      <c r="C63" s="20" t="s">
        <v>153</v>
      </c>
      <c r="D63" s="21" t="s">
        <v>92</v>
      </c>
      <c r="E63" s="1" t="s">
        <v>246</v>
      </c>
      <c r="F63" s="1" t="s">
        <v>183</v>
      </c>
      <c r="G63" s="22">
        <v>50100</v>
      </c>
      <c r="H63" s="1" t="s">
        <v>184</v>
      </c>
      <c r="I63" s="1" t="s">
        <v>185</v>
      </c>
    </row>
    <row r="64" spans="1:9" x14ac:dyDescent="0.25">
      <c r="A64" s="19">
        <v>63</v>
      </c>
      <c r="B64" s="20" t="s">
        <v>154</v>
      </c>
      <c r="C64" s="20" t="s">
        <v>154</v>
      </c>
      <c r="D64" s="21" t="s">
        <v>92</v>
      </c>
      <c r="E64" s="1" t="s">
        <v>247</v>
      </c>
      <c r="F64" s="1" t="s">
        <v>183</v>
      </c>
      <c r="G64" s="22">
        <v>50100</v>
      </c>
      <c r="H64" s="1" t="s">
        <v>184</v>
      </c>
      <c r="I64" s="1" t="s">
        <v>185</v>
      </c>
    </row>
    <row r="65" spans="1:9" x14ac:dyDescent="0.25">
      <c r="A65" s="19">
        <v>64</v>
      </c>
      <c r="B65" s="20" t="s">
        <v>155</v>
      </c>
      <c r="C65" s="20" t="s">
        <v>155</v>
      </c>
      <c r="D65" s="21" t="s">
        <v>92</v>
      </c>
      <c r="E65" s="1" t="s">
        <v>248</v>
      </c>
      <c r="F65" s="1" t="s">
        <v>183</v>
      </c>
      <c r="G65" s="22">
        <v>50100</v>
      </c>
      <c r="H65" s="1" t="s">
        <v>184</v>
      </c>
      <c r="I65" s="1" t="s">
        <v>185</v>
      </c>
    </row>
    <row r="66" spans="1:9" x14ac:dyDescent="0.25">
      <c r="A66" s="19">
        <v>65</v>
      </c>
      <c r="B66" s="20" t="s">
        <v>156</v>
      </c>
      <c r="C66" s="20" t="s">
        <v>156</v>
      </c>
      <c r="D66" s="21" t="s">
        <v>92</v>
      </c>
      <c r="E66" s="1" t="s">
        <v>249</v>
      </c>
      <c r="F66" s="1" t="s">
        <v>183</v>
      </c>
      <c r="G66" s="22">
        <v>50100</v>
      </c>
      <c r="H66" s="1" t="s">
        <v>184</v>
      </c>
      <c r="I66" s="1" t="s">
        <v>185</v>
      </c>
    </row>
    <row r="67" spans="1:9" x14ac:dyDescent="0.25">
      <c r="A67" s="19">
        <v>66</v>
      </c>
      <c r="B67" s="20" t="s">
        <v>157</v>
      </c>
      <c r="C67" s="20" t="s">
        <v>157</v>
      </c>
      <c r="D67" s="21" t="s">
        <v>92</v>
      </c>
      <c r="E67" s="1" t="s">
        <v>250</v>
      </c>
      <c r="F67" s="1" t="s">
        <v>183</v>
      </c>
      <c r="G67" s="22">
        <v>50100</v>
      </c>
      <c r="H67" s="1" t="s">
        <v>184</v>
      </c>
      <c r="I67" s="1" t="s">
        <v>185</v>
      </c>
    </row>
    <row r="68" spans="1:9" x14ac:dyDescent="0.25">
      <c r="A68" s="19">
        <v>67</v>
      </c>
      <c r="B68" s="20" t="s">
        <v>158</v>
      </c>
      <c r="C68" s="20" t="s">
        <v>158</v>
      </c>
      <c r="D68" s="21" t="s">
        <v>92</v>
      </c>
      <c r="E68" s="1" t="s">
        <v>251</v>
      </c>
      <c r="F68" s="1" t="s">
        <v>183</v>
      </c>
      <c r="G68" s="22">
        <v>50100</v>
      </c>
      <c r="H68" s="1" t="s">
        <v>184</v>
      </c>
      <c r="I68" s="1" t="s">
        <v>185</v>
      </c>
    </row>
    <row r="69" spans="1:9" x14ac:dyDescent="0.25">
      <c r="A69" s="19">
        <v>68</v>
      </c>
      <c r="B69" s="20" t="s">
        <v>159</v>
      </c>
      <c r="C69" s="20" t="s">
        <v>159</v>
      </c>
      <c r="D69" s="21" t="s">
        <v>92</v>
      </c>
      <c r="E69" s="1" t="s">
        <v>252</v>
      </c>
      <c r="F69" s="1" t="s">
        <v>183</v>
      </c>
      <c r="G69" s="22">
        <v>50100</v>
      </c>
      <c r="H69" s="1" t="s">
        <v>184</v>
      </c>
      <c r="I69" s="1" t="s">
        <v>185</v>
      </c>
    </row>
    <row r="70" spans="1:9" x14ac:dyDescent="0.25">
      <c r="A70" s="19">
        <v>69</v>
      </c>
      <c r="B70" s="20" t="s">
        <v>160</v>
      </c>
      <c r="C70" s="20" t="s">
        <v>160</v>
      </c>
      <c r="D70" s="21" t="s">
        <v>92</v>
      </c>
      <c r="E70" s="1" t="s">
        <v>253</v>
      </c>
      <c r="F70" s="1" t="s">
        <v>183</v>
      </c>
      <c r="G70" s="22">
        <v>50100</v>
      </c>
      <c r="H70" s="1" t="s">
        <v>184</v>
      </c>
      <c r="I70" s="1" t="s">
        <v>185</v>
      </c>
    </row>
    <row r="71" spans="1:9" x14ac:dyDescent="0.25">
      <c r="A71" s="19">
        <v>70</v>
      </c>
      <c r="B71" s="20" t="s">
        <v>161</v>
      </c>
      <c r="C71" s="20" t="s">
        <v>161</v>
      </c>
      <c r="D71" s="21" t="s">
        <v>92</v>
      </c>
      <c r="E71" s="1" t="s">
        <v>254</v>
      </c>
      <c r="F71" s="1" t="s">
        <v>183</v>
      </c>
      <c r="G71" s="22">
        <v>50100</v>
      </c>
      <c r="H71" s="1" t="s">
        <v>184</v>
      </c>
      <c r="I71" s="1" t="s">
        <v>185</v>
      </c>
    </row>
    <row r="72" spans="1:9" x14ac:dyDescent="0.25">
      <c r="A72" s="19">
        <v>71</v>
      </c>
      <c r="B72" s="20" t="s">
        <v>162</v>
      </c>
      <c r="C72" s="20" t="s">
        <v>162</v>
      </c>
      <c r="D72" s="21" t="s">
        <v>92</v>
      </c>
      <c r="E72" s="1" t="s">
        <v>255</v>
      </c>
      <c r="F72" s="1" t="s">
        <v>183</v>
      </c>
      <c r="G72" s="22">
        <v>50100</v>
      </c>
      <c r="H72" s="1" t="s">
        <v>184</v>
      </c>
      <c r="I72" s="1" t="s">
        <v>185</v>
      </c>
    </row>
    <row r="73" spans="1:9" x14ac:dyDescent="0.25">
      <c r="A73" s="19">
        <v>72</v>
      </c>
      <c r="B73" s="20" t="s">
        <v>163</v>
      </c>
      <c r="C73" s="20" t="s">
        <v>163</v>
      </c>
      <c r="D73" s="21" t="s">
        <v>92</v>
      </c>
      <c r="E73" s="1" t="s">
        <v>256</v>
      </c>
      <c r="F73" s="1" t="s">
        <v>183</v>
      </c>
      <c r="G73" s="22">
        <v>50100</v>
      </c>
      <c r="H73" s="1" t="s">
        <v>184</v>
      </c>
      <c r="I73" s="1" t="s">
        <v>185</v>
      </c>
    </row>
    <row r="74" spans="1:9" x14ac:dyDescent="0.25">
      <c r="A74" s="19">
        <v>73</v>
      </c>
      <c r="B74" s="20" t="s">
        <v>164</v>
      </c>
      <c r="C74" s="20" t="s">
        <v>164</v>
      </c>
      <c r="D74" s="21" t="s">
        <v>92</v>
      </c>
      <c r="E74" s="1" t="s">
        <v>257</v>
      </c>
      <c r="F74" s="1" t="s">
        <v>183</v>
      </c>
      <c r="G74" s="22">
        <v>50100</v>
      </c>
      <c r="H74" s="1" t="s">
        <v>184</v>
      </c>
      <c r="I74" s="1" t="s">
        <v>185</v>
      </c>
    </row>
    <row r="75" spans="1:9" x14ac:dyDescent="0.25">
      <c r="A75" s="19">
        <v>74</v>
      </c>
      <c r="B75" s="20" t="s">
        <v>165</v>
      </c>
      <c r="C75" s="20" t="s">
        <v>165</v>
      </c>
      <c r="D75" s="21" t="s">
        <v>92</v>
      </c>
      <c r="E75" s="1" t="s">
        <v>258</v>
      </c>
      <c r="F75" s="1" t="s">
        <v>183</v>
      </c>
      <c r="G75" s="22">
        <v>50100</v>
      </c>
      <c r="H75" s="1" t="s">
        <v>184</v>
      </c>
      <c r="I75" s="1" t="s">
        <v>185</v>
      </c>
    </row>
    <row r="76" spans="1:9" x14ac:dyDescent="0.25">
      <c r="A76" s="19">
        <v>75</v>
      </c>
      <c r="B76" s="20" t="s">
        <v>166</v>
      </c>
      <c r="C76" s="20" t="s">
        <v>166</v>
      </c>
      <c r="D76" s="21" t="s">
        <v>92</v>
      </c>
      <c r="E76" s="1" t="s">
        <v>259</v>
      </c>
      <c r="F76" s="1" t="s">
        <v>183</v>
      </c>
      <c r="G76" s="22">
        <v>50100</v>
      </c>
      <c r="H76" s="1" t="s">
        <v>184</v>
      </c>
      <c r="I76" s="1" t="s">
        <v>185</v>
      </c>
    </row>
    <row r="77" spans="1:9" x14ac:dyDescent="0.25">
      <c r="A77" s="19">
        <v>76</v>
      </c>
      <c r="B77" s="20" t="s">
        <v>167</v>
      </c>
      <c r="C77" s="20" t="s">
        <v>167</v>
      </c>
      <c r="D77" s="21" t="s">
        <v>92</v>
      </c>
      <c r="E77" s="1" t="s">
        <v>260</v>
      </c>
      <c r="F77" s="1" t="s">
        <v>183</v>
      </c>
      <c r="G77" s="22">
        <v>50100</v>
      </c>
      <c r="H77" s="1" t="s">
        <v>184</v>
      </c>
      <c r="I77" s="1" t="s">
        <v>185</v>
      </c>
    </row>
    <row r="78" spans="1:9" x14ac:dyDescent="0.25">
      <c r="A78" s="19">
        <v>77</v>
      </c>
      <c r="B78" s="20" t="s">
        <v>168</v>
      </c>
      <c r="C78" s="20" t="s">
        <v>168</v>
      </c>
      <c r="D78" s="21" t="s">
        <v>92</v>
      </c>
      <c r="E78" s="1" t="s">
        <v>261</v>
      </c>
      <c r="F78" s="1" t="s">
        <v>183</v>
      </c>
      <c r="G78" s="22">
        <v>50100</v>
      </c>
      <c r="H78" s="1" t="s">
        <v>184</v>
      </c>
      <c r="I78" s="1" t="s">
        <v>185</v>
      </c>
    </row>
    <row r="79" spans="1:9" x14ac:dyDescent="0.25">
      <c r="A79" s="19">
        <v>78</v>
      </c>
      <c r="B79" s="20" t="s">
        <v>169</v>
      </c>
      <c r="C79" s="20" t="s">
        <v>169</v>
      </c>
      <c r="D79" s="21" t="s">
        <v>92</v>
      </c>
      <c r="E79" s="1" t="s">
        <v>262</v>
      </c>
      <c r="F79" s="1" t="s">
        <v>183</v>
      </c>
      <c r="G79" s="22">
        <v>50100</v>
      </c>
      <c r="H79" s="1" t="s">
        <v>184</v>
      </c>
      <c r="I79" s="1" t="s">
        <v>185</v>
      </c>
    </row>
    <row r="80" spans="1:9" x14ac:dyDescent="0.25">
      <c r="A80" s="19">
        <v>79</v>
      </c>
      <c r="B80" s="20" t="s">
        <v>170</v>
      </c>
      <c r="C80" s="20" t="s">
        <v>170</v>
      </c>
      <c r="D80" s="21" t="s">
        <v>92</v>
      </c>
      <c r="E80" s="1" t="s">
        <v>263</v>
      </c>
      <c r="F80" s="1" t="s">
        <v>183</v>
      </c>
      <c r="G80" s="22">
        <v>50100</v>
      </c>
      <c r="H80" s="1" t="s">
        <v>184</v>
      </c>
      <c r="I80" s="1" t="s">
        <v>185</v>
      </c>
    </row>
    <row r="81" spans="1:9" x14ac:dyDescent="0.25">
      <c r="A81" s="19">
        <v>80</v>
      </c>
      <c r="B81" s="20" t="s">
        <v>171</v>
      </c>
      <c r="C81" s="20" t="s">
        <v>171</v>
      </c>
      <c r="D81" s="21" t="s">
        <v>92</v>
      </c>
      <c r="E81" s="1" t="s">
        <v>264</v>
      </c>
      <c r="F81" s="1" t="s">
        <v>183</v>
      </c>
      <c r="G81" s="22">
        <v>50100</v>
      </c>
      <c r="H81" s="1" t="s">
        <v>184</v>
      </c>
      <c r="I81" s="1" t="s">
        <v>185</v>
      </c>
    </row>
    <row r="82" spans="1:9" x14ac:dyDescent="0.25">
      <c r="A82" s="19">
        <v>81</v>
      </c>
      <c r="B82" s="20" t="s">
        <v>172</v>
      </c>
      <c r="C82" s="20" t="s">
        <v>172</v>
      </c>
      <c r="D82" s="21" t="s">
        <v>92</v>
      </c>
      <c r="E82" s="1" t="s">
        <v>265</v>
      </c>
      <c r="F82" s="1" t="s">
        <v>183</v>
      </c>
      <c r="G82" s="22">
        <v>50100</v>
      </c>
      <c r="H82" s="1" t="s">
        <v>184</v>
      </c>
      <c r="I82" s="1" t="s">
        <v>185</v>
      </c>
    </row>
    <row r="83" spans="1:9" x14ac:dyDescent="0.25">
      <c r="A83" s="19">
        <v>82</v>
      </c>
      <c r="B83" s="20" t="s">
        <v>173</v>
      </c>
      <c r="C83" s="20" t="s">
        <v>173</v>
      </c>
      <c r="D83" s="21" t="s">
        <v>92</v>
      </c>
      <c r="E83" s="1" t="s">
        <v>266</v>
      </c>
      <c r="F83" s="1" t="s">
        <v>183</v>
      </c>
      <c r="G83" s="22">
        <v>50100</v>
      </c>
      <c r="H83" s="1" t="s">
        <v>184</v>
      </c>
      <c r="I83" s="1" t="s">
        <v>185</v>
      </c>
    </row>
    <row r="84" spans="1:9" x14ac:dyDescent="0.25">
      <c r="A84" s="19">
        <v>83</v>
      </c>
      <c r="B84" s="20" t="s">
        <v>174</v>
      </c>
      <c r="C84" s="20" t="s">
        <v>174</v>
      </c>
      <c r="D84" s="21" t="s">
        <v>92</v>
      </c>
      <c r="E84" s="1" t="s">
        <v>267</v>
      </c>
      <c r="F84" s="1" t="s">
        <v>183</v>
      </c>
      <c r="G84" s="22">
        <v>50100</v>
      </c>
      <c r="H84" s="1" t="s">
        <v>184</v>
      </c>
      <c r="I84" s="1" t="s">
        <v>185</v>
      </c>
    </row>
    <row r="85" spans="1:9" x14ac:dyDescent="0.25">
      <c r="A85" s="19">
        <v>84</v>
      </c>
      <c r="B85" s="20" t="s">
        <v>175</v>
      </c>
      <c r="C85" s="20" t="s">
        <v>175</v>
      </c>
      <c r="D85" s="21" t="s">
        <v>92</v>
      </c>
      <c r="E85" s="1" t="s">
        <v>268</v>
      </c>
      <c r="F85" s="1" t="s">
        <v>183</v>
      </c>
      <c r="G85" s="22">
        <v>50100</v>
      </c>
      <c r="H85" s="1" t="s">
        <v>184</v>
      </c>
      <c r="I85" s="1" t="s">
        <v>185</v>
      </c>
    </row>
    <row r="86" spans="1:9" x14ac:dyDescent="0.25">
      <c r="A86" s="19">
        <v>85</v>
      </c>
      <c r="B86" s="20" t="s">
        <v>176</v>
      </c>
      <c r="C86" s="20" t="s">
        <v>176</v>
      </c>
      <c r="D86" s="21" t="s">
        <v>92</v>
      </c>
      <c r="E86" s="1" t="s">
        <v>269</v>
      </c>
      <c r="F86" s="1" t="s">
        <v>183</v>
      </c>
      <c r="G86" s="22">
        <v>50100</v>
      </c>
      <c r="H86" s="1" t="s">
        <v>184</v>
      </c>
      <c r="I86" s="1" t="s">
        <v>185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67A0-F5A3-469D-9263-5C9EBD3A739A}">
  <dimension ref="A1:E3"/>
  <sheetViews>
    <sheetView tabSelected="1" workbookViewId="0">
      <selection activeCell="D7" sqref="D7"/>
    </sheetView>
  </sheetViews>
  <sheetFormatPr defaultRowHeight="17.399999999999999" x14ac:dyDescent="0.4"/>
  <cols>
    <col min="1" max="1" width="9.8984375" bestFit="1" customWidth="1"/>
    <col min="2" max="2" width="10.5" bestFit="1" customWidth="1"/>
    <col min="3" max="3" width="6.796875" bestFit="1" customWidth="1"/>
    <col min="4" max="4" width="6.3984375" bestFit="1" customWidth="1"/>
    <col min="5" max="5" width="6.19921875" bestFit="1" customWidth="1"/>
  </cols>
  <sheetData>
    <row r="1" spans="1:5" x14ac:dyDescent="0.4">
      <c r="A1" s="1" t="s">
        <v>178</v>
      </c>
      <c r="B1" s="1" t="s">
        <v>177</v>
      </c>
      <c r="C1" s="1" t="s">
        <v>179</v>
      </c>
      <c r="D1" s="1" t="s">
        <v>180</v>
      </c>
      <c r="E1" s="1" t="s">
        <v>181</v>
      </c>
    </row>
    <row r="2" spans="1:5" x14ac:dyDescent="0.4">
      <c r="A2" s="1">
        <v>0</v>
      </c>
      <c r="B2" s="1">
        <v>2</v>
      </c>
      <c r="C2" s="22">
        <v>50</v>
      </c>
      <c r="D2" s="1">
        <v>1</v>
      </c>
      <c r="E2" s="1">
        <v>10</v>
      </c>
    </row>
    <row r="3" spans="1:5" x14ac:dyDescent="0.4">
      <c r="A3" s="1">
        <v>1</v>
      </c>
      <c r="B3" s="1">
        <v>1</v>
      </c>
      <c r="C3" s="22">
        <v>100</v>
      </c>
      <c r="D3" s="1">
        <v>1.5</v>
      </c>
      <c r="E3" s="1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장비아이템</vt:lpstr>
      <vt:lpstr>MAP</vt:lpstr>
      <vt:lpstr>Enemy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승용 이</dc:creator>
  <cp:lastModifiedBy>승용 이</cp:lastModifiedBy>
  <dcterms:created xsi:type="dcterms:W3CDTF">2026-03-28T06:49:13Z</dcterms:created>
  <dcterms:modified xsi:type="dcterms:W3CDTF">2026-04-01T11:37:52Z</dcterms:modified>
</cp:coreProperties>
</file>